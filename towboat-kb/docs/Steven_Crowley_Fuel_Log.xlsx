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Log" sheetId="2" state="visible" r:id="rId4"/>
    <sheet name="Settings" sheetId="3" state="visible" r:id="rId5"/>
    <sheet name="Tank Tables" sheetId="4" state="visible" r:id="rId6"/>
  </sheets>
  <definedNames>
    <definedName function="false" hidden="false" localSheetId="0" name="_xlnm.Print_Area" vbProcedure="false">Dashboard!$A$1:$J$33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5" authorId="0">
      <text>
        <r>
          <rPr>
            <sz val="10"/>
            <rFont val="Arial"/>
            <family val="2"/>
          </rPr>
          <t xml:space="preserve">Yesterday's total fuel on hand, from the 10/22 log (user figure).</t>
        </r>
      </text>
    </comment>
  </commentList>
</comments>
</file>

<file path=xl/sharedStrings.xml><?xml version="1.0" encoding="utf-8"?>
<sst xmlns="http://schemas.openxmlformats.org/spreadsheetml/2006/main" count="128" uniqueCount="101">
  <si>
    <t xml:space="preserve">M/V A. STEVEN CROWLEY</t>
  </si>
  <si>
    <t xml:space="preserve">Latest entry</t>
  </si>
  <si>
    <t xml:space="preserve">Daily Fuel Log — Dashboard</t>
  </si>
  <si>
    <t xml:space="preserve">TOTAL FUEL ON HAND</t>
  </si>
  <si>
    <t xml:space="preserve">ROOM TO FULL</t>
  </si>
  <si>
    <t xml:space="preserve">FUEL USED TODAY</t>
  </si>
  <si>
    <t xml:space="preserve">DAYS TO 2 TRUCKS</t>
  </si>
  <si>
    <t xml:space="preserve">TANK SOUNDINGS</t>
  </si>
  <si>
    <t xml:space="preserve">PORT</t>
  </si>
  <si>
    <t xml:space="preserve">Inches</t>
  </si>
  <si>
    <t xml:space="preserve">Gallons</t>
  </si>
  <si>
    <t xml:space="preserve">STBD</t>
  </si>
  <si>
    <t xml:space="preserve">Tank #2</t>
  </si>
  <si>
    <t xml:space="preserve">Tank #3</t>
  </si>
  <si>
    <t xml:space="preserve">Tank #4</t>
  </si>
  <si>
    <t xml:space="preserve">Tank #5</t>
  </si>
  <si>
    <t xml:space="preserve">Port Total</t>
  </si>
  <si>
    <t xml:space="preserve">Stbd Total</t>
  </si>
  <si>
    <t xml:space="preserve">TOTAL FUEL</t>
  </si>
  <si>
    <t xml:space="preserve">LUBE OIL  &amp;  POTABLE WATER  &amp;  RECEIPTS</t>
  </si>
  <si>
    <t xml:space="preserve">P L/O</t>
  </si>
  <si>
    <t xml:space="preserve">Potable Water</t>
  </si>
  <si>
    <t xml:space="preserve">S L/O</t>
  </si>
  <si>
    <t xml:space="preserve">Water Received</t>
  </si>
  <si>
    <t xml:space="preserve">L/O Total</t>
  </si>
  <si>
    <t xml:space="preserve">Water Used</t>
  </si>
  <si>
    <t xml:space="preserve">L/O Used</t>
  </si>
  <si>
    <t xml:space="preserve">Fuel Received</t>
  </si>
  <si>
    <t xml:space="preserve">helper values — leave these alone</t>
  </si>
  <si>
    <t xml:space="preserve">days logged</t>
  </si>
  <si>
    <t xml:space="preserve">avg burn/day</t>
  </si>
  <si>
    <t xml:space="preserve">truck (gal)</t>
  </si>
  <si>
    <t xml:space="preserve">capacity</t>
  </si>
  <si>
    <t xml:space="preserve">M/V A. Steven Crowley — Daily Fuel Log</t>
  </si>
  <si>
    <t xml:space="preserve">Cream = type it in.  White/green = calculates.  Soundings in inches (91.5 is fine).  Fill rows in order — each day's Used compares to the row above.  Capacity and truck size live on the Settings tab.</t>
  </si>
  <si>
    <t xml:space="preserve">SOUNDINGS  (inches)</t>
  </si>
  <si>
    <t xml:space="preserve">GALLONS  (from tank tables)</t>
  </si>
  <si>
    <t xml:space="preserve">TOTALS</t>
  </si>
  <si>
    <t xml:space="preserve">FUEL</t>
  </si>
  <si>
    <t xml:space="preserve">LUBE OIL</t>
  </si>
  <si>
    <t xml:space="preserve">POTABLE WATER</t>
  </si>
  <si>
    <t xml:space="preserve">NOTES</t>
  </si>
  <si>
    <t xml:space="preserve">Date</t>
  </si>
  <si>
    <t xml:space="preserve">Port
#2</t>
  </si>
  <si>
    <t xml:space="preserve">Port
#3</t>
  </si>
  <si>
    <t xml:space="preserve">Port
#4</t>
  </si>
  <si>
    <t xml:space="preserve">Port
#5</t>
  </si>
  <si>
    <t xml:space="preserve">Stbd
#2</t>
  </si>
  <si>
    <t xml:space="preserve">Stbd
#3</t>
  </si>
  <si>
    <t xml:space="preserve">Stbd
#4</t>
  </si>
  <si>
    <t xml:space="preserve">Stbd
#5</t>
  </si>
  <si>
    <t xml:space="preserve">Port
Total</t>
  </si>
  <si>
    <t xml:space="preserve">Stbd
Total</t>
  </si>
  <si>
    <t xml:space="preserve">TOTAL
FUEL</t>
  </si>
  <si>
    <t xml:space="preserve">Fuel
Received</t>
  </si>
  <si>
    <t xml:space="preserve">Fuel
Used</t>
  </si>
  <si>
    <t xml:space="preserve">Room to
Full</t>
  </si>
  <si>
    <t xml:space="preserve">Trucks
that Fit</t>
  </si>
  <si>
    <t xml:space="preserve">Alert</t>
  </si>
  <si>
    <t xml:space="preserve">P L/O
gal</t>
  </si>
  <si>
    <t xml:space="preserve">S L/O
gal</t>
  </si>
  <si>
    <t xml:space="preserve">L/O
Received</t>
  </si>
  <si>
    <t xml:space="preserve">L/O
Total</t>
  </si>
  <si>
    <t xml:space="preserve">L/O
Used</t>
  </si>
  <si>
    <t xml:space="preserve">Potable
Water</t>
  </si>
  <si>
    <t xml:space="preserve">Water
Received</t>
  </si>
  <si>
    <t xml:space="preserve">Water
Used</t>
  </si>
  <si>
    <t xml:space="preserve">Notes</t>
  </si>
  <si>
    <t xml:space="preserve">OPENING BALANCE — type yesterday's totals here once (fuel, lube, water).</t>
  </si>
  <si>
    <t xml:space="preserve">Example: 10/23 soundings after fueling (3s and 4s gravitated to 91). Overwrite with your real numbers.</t>
  </si>
  <si>
    <t xml:space="preserve">Settings</t>
  </si>
  <si>
    <t xml:space="preserve">Cream cells are yours to change. The Dashboard and Daily Log alerts use the capacity and truck size here.</t>
  </si>
  <si>
    <t xml:space="preserve">BOAT</t>
  </si>
  <si>
    <t xml:space="preserve">Boat name</t>
  </si>
  <si>
    <t xml:space="preserve">M/V A. Steven Crowley</t>
  </si>
  <si>
    <t xml:space="preserve">Full capacity (gal) — what she holds topped off</t>
  </si>
  <si>
    <t xml:space="preserve">Used for Room to Full and the truck alerts.</t>
  </si>
  <si>
    <t xml:space="preserve">Truck load (gal)</t>
  </si>
  <si>
    <t xml:space="preserve">One truck on the upper Mississippi. 2 trucks = 15,000.</t>
  </si>
  <si>
    <t xml:space="preserve">FILL MARKS (inches, from Steve's fueling sheet)</t>
  </si>
  <si>
    <t xml:space="preserve">Capacity at those marks, all 8 tanks (from the tables)</t>
  </si>
  <si>
    <t xml:space="preserve">Reference only — the alerts use C7.</t>
  </si>
  <si>
    <t xml:space="preserve">Mark in the 3s and 4s to open the 5s (inches)</t>
  </si>
  <si>
    <t xml:space="preserve">From Steve's sheet.</t>
  </si>
  <si>
    <t xml:space="preserve">HOW TO USE</t>
  </si>
  <si>
    <t xml:space="preserve">1.  Daily Log, row 5 is the opening balance — type yesterday's total fuel, lube total and potable water there once.</t>
  </si>
  <si>
    <t xml:space="preserve">2.  Each day: date, the eight soundings in inches (half inches are fine), fuel received, lube and water figures.</t>
  </si>
  <si>
    <t xml:space="preserve">3.  Gallons, totals, fuel used, room to full and the truck alert fill in on their own. The Dashboard shows the latest day.</t>
  </si>
  <si>
    <t xml:space="preserve">4.  Fill the rows in order with no gaps — each day's Used compares against the row above.</t>
  </si>
  <si>
    <t xml:space="preserve">5.  A '?' in a gallons cell means the sounding is outside the table, or has a quote mark typed in it.</t>
  </si>
  <si>
    <t xml:space="preserve">6.  Need more rows? Copy the last row down — the formulas carry.</t>
  </si>
  <si>
    <t xml:space="preserve">Tank Tables — M/V A. Steven Crowley</t>
  </si>
  <si>
    <t xml:space="preserve">Inches → gallons. Same table for port and starboard. Highlighted rows are Steve's fill marks; blue row is the 40" mark for opening the 5s.</t>
  </si>
  <si>
    <t xml:space="preserve">TANK #2</t>
  </si>
  <si>
    <t xml:space="preserve">TANK #3</t>
  </si>
  <si>
    <t xml:space="preserve">TANK #4</t>
  </si>
  <si>
    <t xml:space="preserve">TANK #5</t>
  </si>
  <si>
    <t xml:space="preserve">Transcribed from the binder tank-table pages. Tank #2 runs to 116", the others to 125".</t>
  </si>
  <si>
    <t xml:space="preserve">Tank #3 at 41" uses 4,156 — the binder's handwritten correction of the printed 4,555 misprint.</t>
  </si>
  <si>
    <t xml:space="preserve">Boxed marks on the binder pages: #2 104", #3 118", #4 118", #5 117". Steve's fueling sheet: #2 106", #3/#4/#5 118".</t>
  </si>
  <si>
    <t xml:space="preserve">The Daily Log looks these up and interpolates half inches (91.5" reads halfway between 91 and 92).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</si>
</sst>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yy"/>
    <numFmt numFmtId="166" formatCode="#,##0"/>
    <numFmt numFmtId="167" formatCode="0.0"/>
    <numFmt numFmtId="168" formatCode="0.#"/>
    <numFmt numFmtId="169" formatCode="mm/dd/yy"/>
    <numFmt numFmtId="170" formatCode="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2"/>
      <color rgb="FF1F3864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3"/>
      <color rgb="FF7F3F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2F5597"/>
        <bgColor rgb="FF44546A"/>
      </patternFill>
    </fill>
    <fill>
      <patternFill patternType="solid">
        <fgColor rgb="FFDDEBF7"/>
        <bgColor rgb="FFEDEDED"/>
      </patternFill>
    </fill>
    <fill>
      <patternFill patternType="solid">
        <fgColor rgb="FFF8CBAD"/>
        <bgColor rgb="FFFFC7CE"/>
      </patternFill>
    </fill>
    <fill>
      <patternFill patternType="solid">
        <fgColor rgb="FF1F3864"/>
        <bgColor rgb="FF2F5597"/>
      </patternFill>
    </fill>
    <fill>
      <patternFill patternType="solid">
        <fgColor rgb="FFFFFFFF"/>
        <bgColor rgb="FFF3F6FA"/>
      </patternFill>
    </fill>
    <fill>
      <patternFill patternType="solid">
        <fgColor rgb="FFF3F6FA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548235"/>
        <bgColor rgb="FF595959"/>
      </patternFill>
    </fill>
    <fill>
      <patternFill patternType="solid">
        <fgColor rgb="FF44546A"/>
        <bgColor rgb="FF595959"/>
      </patternFill>
    </fill>
    <fill>
      <patternFill patternType="solid">
        <fgColor rgb="FFBF8F00"/>
        <bgColor rgb="FFFF6600"/>
      </patternFill>
    </fill>
    <fill>
      <patternFill patternType="solid">
        <fgColor rgb="FF7B5E00"/>
        <bgColor rgb="FF7F3F00"/>
      </patternFill>
    </fill>
    <fill>
      <patternFill patternType="solid">
        <fgColor rgb="FF2E75B6"/>
        <bgColor rgb="FF2F5597"/>
      </patternFill>
    </fill>
    <fill>
      <patternFill patternType="solid">
        <fgColor rgb="FF595959"/>
        <bgColor rgb="FF44546A"/>
      </patternFill>
    </fill>
    <fill>
      <patternFill patternType="solid">
        <fgColor rgb="FFFFF9E5"/>
        <bgColor rgb="FFFFFFFF"/>
      </patternFill>
    </fill>
    <fill>
      <patternFill patternType="solid">
        <fgColor rgb="FFEDEDED"/>
        <bgColor rgb="FFF3F6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548235"/>
        <sz val="13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8CBAD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E00"/>
      <rgbColor rgb="FF800080"/>
      <rgbColor rgb="FF008080"/>
      <rgbColor rgb="FFFFC7CE"/>
      <rgbColor rgb="FF808080"/>
      <rgbColor rgb="FF9999FF"/>
      <rgbColor rgb="FF993366"/>
      <rgbColor rgb="FFFFF9E5"/>
      <rgbColor rgb="FFDDEBF7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A"/>
      <rgbColor rgb="FFE2EFDA"/>
      <rgbColor rgb="FFEDEDED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548235"/>
      <rgbColor rgb="FF003300"/>
      <rgbColor rgb="FF333300"/>
      <rgbColor rgb="FF7F3F00"/>
      <rgbColor rgb="FF993366"/>
      <rgbColor rgb="FF2F5597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3"/>
    <col collapsed="false" customWidth="true" hidden="false" outlineLevel="0" max="11" min="10" style="0" width="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2" t="s">
        <v>1</v>
      </c>
      <c r="H2" s="3" t="n">
        <f aca="false">IF($C$29=0,"",IF(INDEX('Daily Log'!A6:A70,$C$29)="","",INDEX('Daily Log'!A6:A70,$C$29)))</f>
        <v>46318</v>
      </c>
    </row>
    <row r="3" customFormat="false" ht="15" hidden="false" customHeight="false" outlineLevel="0" collapsed="false">
      <c r="B3" s="4" t="s">
        <v>2</v>
      </c>
      <c r="C3" s="4"/>
      <c r="D3" s="4"/>
      <c r="E3" s="4"/>
      <c r="F3" s="4"/>
    </row>
    <row r="5" customFormat="false" ht="15.75" hidden="false" customHeight="true" outlineLevel="0" collapsed="false">
      <c r="B5" s="5" t="s">
        <v>3</v>
      </c>
      <c r="C5" s="5"/>
      <c r="D5" s="5" t="s">
        <v>4</v>
      </c>
      <c r="E5" s="5"/>
      <c r="F5" s="5" t="s">
        <v>5</v>
      </c>
      <c r="G5" s="5"/>
      <c r="H5" s="5" t="s">
        <v>6</v>
      </c>
      <c r="I5" s="5"/>
    </row>
    <row r="6" customFormat="false" ht="37.5" hidden="false" customHeight="true" outlineLevel="0" collapsed="false">
      <c r="B6" s="6" t="n">
        <f aca="false">IF($C$29=0,"",IF(INDEX('Daily Log'!T6:T70,$C$29)="","",INDEX('Daily Log'!T6:T70,$C$29)))</f>
        <v>82198</v>
      </c>
      <c r="C6" s="6"/>
      <c r="D6" s="6" t="n">
        <f aca="false">IF($C$29=0,"",IF(INDEX('Daily Log'!W6:W70,$C$29)="","",INDEX('Daily Log'!W6:W70,$C$29)))</f>
        <v>9302</v>
      </c>
      <c r="E6" s="6"/>
      <c r="F6" s="6" t="n">
        <f aca="false">IF($C$29=0,"",IF(INDEX('Daily Log'!V6:V70,$C$29)="","",INDEX('Daily Log'!V6:V70,$C$29)))</f>
        <v>895</v>
      </c>
      <c r="G6" s="6"/>
      <c r="H6" s="7" t="n">
        <f aca="false">IF(OR($C$29=0,$C$30=""),"",IF($C$30&lt;=0,"—",MAX(0,ROUND((2*$C$31-IF($C$29=0,"",IF(INDEX('Daily Log'!W6:W70,$C$29)="","",INDEX('Daily Log'!W6:W70,$C$29))))/$C$30,1))))</f>
        <v>6.4</v>
      </c>
      <c r="I6" s="7"/>
    </row>
    <row r="7" customFormat="false" ht="18" hidden="false" customHeight="true" outlineLevel="0" collapsed="false">
      <c r="B7" s="8" t="str">
        <f aca="false">IF($C$29=0,"","of "&amp;FIXED($C$32,0)&amp;" gal capacity")</f>
        <v>of 91,500 gal capacity</v>
      </c>
      <c r="C7" s="8"/>
      <c r="D7" s="8" t="str">
        <f aca="false">IF($C$29=0,"",IF(IF($C$29=0,"",IF(INDEX('Daily Log'!X6:X70,$C$29)="","",INDEX('Daily Log'!X6:X70,$C$29)))=1,"1 truck fits",IF($C$29=0,"",IF(INDEX('Daily Log'!X6:X70,$C$29)="","",INDEX('Daily Log'!X6:X70,$C$29)))&amp;" trucks fit"))</f>
        <v>1 truck fits</v>
      </c>
      <c r="E7" s="8"/>
      <c r="F7" s="8" t="str">
        <f aca="false">IF($C$30="","","avg burn "&amp;FIXED($C$30,0)&amp;" gal/day")</f>
        <v>avg burn 895 gal/day</v>
      </c>
      <c r="G7" s="8"/>
      <c r="H7" s="8" t="str">
        <f aca="false">IF(OR($C$29=0,$C$30=""),"",IF($C$30&lt;=0,"","1 truck: "&amp;IF(IF($C$29=0,"",IF(INDEX('Daily Log'!W6:W70,$C$29)="","",INDEX('Daily Log'!W6:W70,$C$29)))&gt;=$C$31,"fits now",FIXED(MAX(0,($C$31-IF($C$29=0,"",IF(INDEX('Daily Log'!W6:W70,$C$29)="","",INDEX('Daily Log'!W6:W70,$C$29))))/$C$30),1)&amp;" days")))</f>
        <v>1 truck: fits now</v>
      </c>
      <c r="I7" s="8"/>
    </row>
    <row r="9" customFormat="false" ht="30" hidden="false" customHeight="true" outlineLevel="0" collapsed="false">
      <c r="B9" s="9" t="str">
        <f aca="false">IF($C$29=0,"No entries yet — fill in the Daily Log.",IF(IF($C$29=0,"",IF(INDEX('Daily Log'!X6:X70,$C$29)="","",INDEX('Daily Log'!X6:X70,$C$29)))&gt;=2,"ROOM FOR "&amp;IF($C$29=0,"",IF(INDEX('Daily Log'!X6:X70,$C$29)="","",INDEX('Daily Log'!X6:X70,$C$29)))&amp;" TRUCKS  —  "&amp;FIXED(IF($C$29=0,"",IF(INDEX('Daily Log'!W6:W70,$C$29)="","",INDEX('Daily Log'!W6:W70,$C$29))),0)&amp;" gal to full",IF(IF($C$29=0,"",IF(INDEX('Daily Log'!X6:X70,$C$29)="","",INDEX('Daily Log'!X6:X70,$C$29)))=1,"ROOM FOR 1 TRUCK  —  "&amp;FIXED(IF($C$29=0,"",IF(INDEX('Daily Log'!W6:W70,$C$29)="","",INDEX('Daily Log'!W6:W70,$C$29))),0)&amp;" gal to full","No truck fits yet  —  "&amp;FIXED(IF($C$29=0,"",IF(INDEX('Daily Log'!W6:W70,$C$29)="","",INDEX('Daily Log'!W6:W70,$C$29))),0)&amp;" gal to full, "&amp;FIXED($C$31-IF($C$29=0,"",IF(INDEX('Daily Log'!W6:W70,$C$29)="","",INDEX('Daily Log'!W6:W70,$C$29))),0)&amp;" more to burn before one fits")))</f>
        <v>ROOM FOR 1 TRUCK  —  9,302 gal to full</v>
      </c>
      <c r="C9" s="9"/>
      <c r="D9" s="9"/>
      <c r="E9" s="9"/>
      <c r="F9" s="9"/>
      <c r="G9" s="9"/>
      <c r="H9" s="9"/>
      <c r="I9" s="9"/>
    </row>
    <row r="11" customFormat="false" ht="15" hidden="false" customHeight="false" outlineLevel="0" collapsed="false">
      <c r="B11" s="10" t="s">
        <v>7</v>
      </c>
      <c r="C11" s="10"/>
      <c r="D11" s="10"/>
      <c r="E11" s="10"/>
      <c r="F11" s="10"/>
      <c r="G11" s="10"/>
      <c r="H11" s="10"/>
      <c r="I11" s="10"/>
    </row>
    <row r="12" customFormat="false" ht="15" hidden="false" customHeight="false" outlineLevel="0" collapsed="false">
      <c r="B12" s="11" t="s">
        <v>8</v>
      </c>
      <c r="C12" s="12" t="s">
        <v>9</v>
      </c>
      <c r="D12" s="12" t="s">
        <v>10</v>
      </c>
      <c r="F12" s="11" t="s">
        <v>11</v>
      </c>
      <c r="G12" s="12" t="s">
        <v>9</v>
      </c>
      <c r="H12" s="12" t="s">
        <v>10</v>
      </c>
    </row>
    <row r="13" customFormat="false" ht="19.5" hidden="false" customHeight="true" outlineLevel="0" collapsed="false">
      <c r="B13" s="13" t="s">
        <v>12</v>
      </c>
      <c r="C13" s="14" t="n">
        <f aca="false">IF($C$29=0,"",IF(INDEX('Daily Log'!B6:B70,$C$29)="","",INDEX('Daily Log'!B6:B70,$C$29)))</f>
        <v>103</v>
      </c>
      <c r="D13" s="15" t="n">
        <f aca="false">IF($C$29=0,"",IF(INDEX('Daily Log'!J6:J70,$C$29)="","",INDEX('Daily Log'!J6:J70,$C$29)))</f>
        <v>15000</v>
      </c>
      <c r="F13" s="13" t="s">
        <v>12</v>
      </c>
      <c r="G13" s="14" t="n">
        <f aca="false">IF($C$29=0,"",IF(INDEX('Daily Log'!F6:F70,$C$29)="","",INDEX('Daily Log'!F6:F70,$C$29)))</f>
        <v>103</v>
      </c>
      <c r="H13" s="15" t="n">
        <f aca="false">IF($C$29=0,"",IF(INDEX('Daily Log'!N6:N70,$C$29)="","",INDEX('Daily Log'!N6:N70,$C$29)))</f>
        <v>15000</v>
      </c>
    </row>
    <row r="14" customFormat="false" ht="19.5" hidden="false" customHeight="true" outlineLevel="0" collapsed="false">
      <c r="B14" s="16" t="s">
        <v>13</v>
      </c>
      <c r="C14" s="17" t="n">
        <f aca="false">IF($C$29=0,"",IF(INDEX('Daily Log'!C6:C70,$C$29)="","",INDEX('Daily Log'!C6:C70,$C$29)))</f>
        <v>91</v>
      </c>
      <c r="D14" s="18" t="n">
        <f aca="false">IF($C$29=0,"",IF(INDEX('Daily Log'!K6:K70,$C$29)="","",INDEX('Daily Log'!K6:K70,$C$29)))</f>
        <v>9692</v>
      </c>
      <c r="F14" s="16" t="s">
        <v>13</v>
      </c>
      <c r="G14" s="17" t="n">
        <f aca="false">IF($C$29=0,"",IF(INDEX('Daily Log'!G6:G70,$C$29)="","",INDEX('Daily Log'!G6:G70,$C$29)))</f>
        <v>91</v>
      </c>
      <c r="H14" s="18" t="n">
        <f aca="false">IF($C$29=0,"",IF(INDEX('Daily Log'!O6:O70,$C$29)="","",INDEX('Daily Log'!O6:O70,$C$29)))</f>
        <v>9692</v>
      </c>
    </row>
    <row r="15" customFormat="false" ht="19.5" hidden="false" customHeight="true" outlineLevel="0" collapsed="false">
      <c r="B15" s="13" t="s">
        <v>14</v>
      </c>
      <c r="C15" s="14" t="n">
        <f aca="false">IF($C$29=0,"",IF(INDEX('Daily Log'!D6:D70,$C$29)="","",INDEX('Daily Log'!D6:D70,$C$29)))</f>
        <v>91</v>
      </c>
      <c r="D15" s="15" t="n">
        <f aca="false">IF($C$29=0,"",IF(INDEX('Daily Log'!L6:L70,$C$29)="","",INDEX('Daily Log'!L6:L70,$C$29)))</f>
        <v>7423</v>
      </c>
      <c r="F15" s="13" t="s">
        <v>14</v>
      </c>
      <c r="G15" s="14" t="n">
        <f aca="false">IF($C$29=0,"",IF(INDEX('Daily Log'!H6:H70,$C$29)="","",INDEX('Daily Log'!H6:H70,$C$29)))</f>
        <v>91</v>
      </c>
      <c r="H15" s="15" t="n">
        <f aca="false">IF($C$29=0,"",IF(INDEX('Daily Log'!P6:P70,$C$29)="","",INDEX('Daily Log'!P6:P70,$C$29)))</f>
        <v>7423</v>
      </c>
    </row>
    <row r="16" customFormat="false" ht="19.5" hidden="false" customHeight="true" outlineLevel="0" collapsed="false">
      <c r="B16" s="16" t="s">
        <v>15</v>
      </c>
      <c r="C16" s="17" t="n">
        <f aca="false">IF($C$29=0,"",IF(INDEX('Daily Log'!E6:E70,$C$29)="","",INDEX('Daily Log'!E6:E70,$C$29)))</f>
        <v>115</v>
      </c>
      <c r="D16" s="18" t="n">
        <f aca="false">IF($C$29=0,"",IF(INDEX('Daily Log'!M6:M70,$C$29)="","",INDEX('Daily Log'!M6:M70,$C$29)))</f>
        <v>8984</v>
      </c>
      <c r="F16" s="16" t="s">
        <v>15</v>
      </c>
      <c r="G16" s="17" t="n">
        <f aca="false">IF($C$29=0,"",IF(INDEX('Daily Log'!I6:I70,$C$29)="","",INDEX('Daily Log'!I6:I70,$C$29)))</f>
        <v>115</v>
      </c>
      <c r="H16" s="18" t="n">
        <f aca="false">IF($C$29=0,"",IF(INDEX('Daily Log'!Q6:Q70,$C$29)="","",INDEX('Daily Log'!Q6:Q70,$C$29)))</f>
        <v>8984</v>
      </c>
    </row>
    <row r="17" customFormat="false" ht="19.5" hidden="false" customHeight="true" outlineLevel="0" collapsed="false">
      <c r="B17" s="19" t="s">
        <v>16</v>
      </c>
      <c r="C17" s="19"/>
      <c r="D17" s="20" t="n">
        <f aca="false">IF($C$29=0,"",IF(INDEX('Daily Log'!R6:R70,$C$29)="","",INDEX('Daily Log'!R6:R70,$C$29)))</f>
        <v>41099</v>
      </c>
      <c r="F17" s="19" t="s">
        <v>17</v>
      </c>
      <c r="G17" s="19"/>
      <c r="H17" s="20" t="n">
        <f aca="false">IF($C$29=0,"",IF(INDEX('Daily Log'!S6:S70,$C$29)="","",INDEX('Daily Log'!S6:S70,$C$29)))</f>
        <v>41099</v>
      </c>
    </row>
    <row r="18" customFormat="false" ht="24" hidden="false" customHeight="true" outlineLevel="0" collapsed="false">
      <c r="B18" s="21" t="s">
        <v>18</v>
      </c>
      <c r="C18" s="21"/>
      <c r="D18" s="21"/>
      <c r="E18" s="21"/>
      <c r="F18" s="21"/>
      <c r="G18" s="21"/>
      <c r="H18" s="22" t="n">
        <f aca="false">IF($C$29=0,"",IF(INDEX('Daily Log'!T6:T70,$C$29)="","",INDEX('Daily Log'!T6:T70,$C$29)))</f>
        <v>82198</v>
      </c>
    </row>
    <row r="20" customFormat="false" ht="15" hidden="false" customHeight="false" outlineLevel="0" collapsed="false">
      <c r="B20" s="10" t="s">
        <v>19</v>
      </c>
      <c r="C20" s="10"/>
      <c r="D20" s="10"/>
      <c r="E20" s="10"/>
      <c r="F20" s="10"/>
      <c r="G20" s="10"/>
      <c r="H20" s="10"/>
      <c r="I20" s="10"/>
    </row>
    <row r="21" customFormat="false" ht="19.5" hidden="false" customHeight="true" outlineLevel="0" collapsed="false">
      <c r="B21" s="13" t="s">
        <v>20</v>
      </c>
      <c r="C21" s="13"/>
      <c r="D21" s="15" t="str">
        <f aca="false">IF($C$29=0,"",IF(INDEX('Daily Log'!Z6:Z70,$C$29)="","",INDEX('Daily Log'!Z6:Z70,$C$29)))</f>
        <v/>
      </c>
      <c r="F21" s="13" t="s">
        <v>21</v>
      </c>
      <c r="G21" s="13"/>
      <c r="H21" s="15" t="n">
        <f aca="false">IF($C$29=0,"",IF(INDEX('Daily Log'!AE6:AE70,$C$29)="","",INDEX('Daily Log'!AE6:AE70,$C$29)))</f>
        <v>15000</v>
      </c>
    </row>
    <row r="22" customFormat="false" ht="19.5" hidden="false" customHeight="true" outlineLevel="0" collapsed="false">
      <c r="B22" s="16" t="s">
        <v>22</v>
      </c>
      <c r="C22" s="16"/>
      <c r="D22" s="18" t="str">
        <f aca="false">IF($C$29=0,"",IF(INDEX('Daily Log'!AA6:AA70,$C$29)="","",INDEX('Daily Log'!AA6:AA70,$C$29)))</f>
        <v/>
      </c>
      <c r="F22" s="16" t="s">
        <v>23</v>
      </c>
      <c r="G22" s="16"/>
      <c r="H22" s="18" t="n">
        <f aca="false">IF($C$29=0,"",IF(INDEX('Daily Log'!AF6:AF70,$C$29)="","",INDEX('Daily Log'!AF6:AF70,$C$29)))</f>
        <v>6000</v>
      </c>
    </row>
    <row r="23" customFormat="false" ht="19.5" hidden="false" customHeight="true" outlineLevel="0" collapsed="false">
      <c r="B23" s="13" t="s">
        <v>24</v>
      </c>
      <c r="C23" s="13"/>
      <c r="D23" s="15" t="str">
        <f aca="false">IF($C$29=0,"",IF(INDEX('Daily Log'!AC6:AC70,$C$29)="","",INDEX('Daily Log'!AC6:AC70,$C$29)))</f>
        <v/>
      </c>
      <c r="F23" s="13" t="s">
        <v>25</v>
      </c>
      <c r="G23" s="13"/>
      <c r="H23" s="15" t="n">
        <f aca="false">IF($C$29=0,"",IF(INDEX('Daily Log'!AG6:AG70,$C$29)="","",INDEX('Daily Log'!AG6:AG70,$C$29)))</f>
        <v>500</v>
      </c>
    </row>
    <row r="24" customFormat="false" ht="19.5" hidden="false" customHeight="true" outlineLevel="0" collapsed="false">
      <c r="B24" s="16" t="s">
        <v>26</v>
      </c>
      <c r="C24" s="16"/>
      <c r="D24" s="18" t="str">
        <f aca="false">IF($C$29=0,"",IF(INDEX('Daily Log'!AD6:AD70,$C$29)="","",INDEX('Daily Log'!AD6:AD70,$C$29)))</f>
        <v/>
      </c>
      <c r="F24" s="16" t="s">
        <v>27</v>
      </c>
      <c r="G24" s="16"/>
      <c r="H24" s="18" t="n">
        <f aca="false">IF($C$29=0,"",IF(INDEX('Daily Log'!U6:U70,$C$29)="","",INDEX('Daily Log'!U6:U70,$C$29)))</f>
        <v>10009</v>
      </c>
    </row>
    <row r="26" customFormat="false" ht="15" hidden="false" customHeight="false" outlineLevel="0" collapsed="false">
      <c r="B26" s="23" t="str">
        <f aca="false">IF($C$29=0,"",$C$29&amp;" day(s) logged.  Enter each day on the Daily Log tab; this page always shows the latest row.")</f>
        <v>1 day(s) logged.  Enter each day on the Daily Log tab; this page always shows the latest row.</v>
      </c>
      <c r="C26" s="23"/>
      <c r="D26" s="23"/>
      <c r="E26" s="23"/>
      <c r="F26" s="23"/>
      <c r="G26" s="23"/>
      <c r="H26" s="23"/>
      <c r="I26" s="23"/>
    </row>
    <row r="28" customFormat="false" ht="15" hidden="false" customHeight="false" outlineLevel="0" collapsed="false">
      <c r="B28" s="24" t="s">
        <v>28</v>
      </c>
    </row>
    <row r="29" customFormat="false" ht="15" hidden="false" customHeight="false" outlineLevel="0" collapsed="false">
      <c r="B29" s="25" t="s">
        <v>29</v>
      </c>
      <c r="C29" s="26" t="n">
        <f aca="false">COUNT('Daily Log'!A6:A70)</f>
        <v>1</v>
      </c>
    </row>
    <row r="30" customFormat="false" ht="15" hidden="false" customHeight="false" outlineLevel="0" collapsed="false">
      <c r="B30" s="25" t="s">
        <v>30</v>
      </c>
      <c r="C30" s="26" t="n">
        <f aca="false">IF($C$29=0,"",IFERROR(AVERAGE('Daily Log'!V6:V70),""))</f>
        <v>895</v>
      </c>
    </row>
    <row r="31" customFormat="false" ht="15" hidden="false" customHeight="false" outlineLevel="0" collapsed="false">
      <c r="B31" s="25" t="s">
        <v>31</v>
      </c>
      <c r="C31" s="26" t="n">
        <f aca="false">Settings!$C$8</f>
        <v>7500</v>
      </c>
    </row>
    <row r="32" customFormat="false" ht="15" hidden="false" customHeight="false" outlineLevel="0" collapsed="false">
      <c r="B32" s="25" t="s">
        <v>32</v>
      </c>
      <c r="C32" s="26" t="n">
        <f aca="false">Settings!$C$7</f>
        <v>91500</v>
      </c>
    </row>
  </sheetData>
  <mergeCells count="29">
    <mergeCell ref="B2:F2"/>
    <mergeCell ref="B3:F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9:I9"/>
    <mergeCell ref="B11:I11"/>
    <mergeCell ref="B17:C17"/>
    <mergeCell ref="F17:G17"/>
    <mergeCell ref="B18:G18"/>
    <mergeCell ref="B20:I20"/>
    <mergeCell ref="B21:C21"/>
    <mergeCell ref="F21:G21"/>
    <mergeCell ref="B22:C22"/>
    <mergeCell ref="F22:G22"/>
    <mergeCell ref="B23:C23"/>
    <mergeCell ref="F23:G23"/>
    <mergeCell ref="B24:C24"/>
    <mergeCell ref="F24:G24"/>
    <mergeCell ref="B26:I26"/>
  </mergeCells>
  <conditionalFormatting sqref="B9">
    <cfRule type="expression" priority="2" aboveAverage="0" equalAverage="0" bottom="0" percent="0" rank="0" text="" dxfId="0">
      <formula>LEFT(B9,2)="No"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9" min="2" style="0" width="7"/>
    <col collapsed="false" customWidth="true" hidden="false" outlineLevel="0" max="17" min="10" style="0" width="8.5"/>
    <col collapsed="false" customWidth="true" hidden="false" outlineLevel="0" max="20" min="18" style="0" width="10"/>
    <col collapsed="false" customWidth="true" hidden="false" outlineLevel="0" max="21" min="21" style="0" width="9.51"/>
    <col collapsed="false" customWidth="true" hidden="false" outlineLevel="0" max="24" min="22" style="0" width="10"/>
    <col collapsed="false" customWidth="true" hidden="false" outlineLevel="0" max="25" min="25" style="0" width="20"/>
    <col collapsed="false" customWidth="true" hidden="false" outlineLevel="0" max="28" min="26" style="0" width="9.51"/>
    <col collapsed="false" customWidth="true" hidden="false" outlineLevel="0" max="30" min="29" style="0" width="10"/>
    <col collapsed="false" customWidth="true" hidden="false" outlineLevel="0" max="32" min="31" style="0" width="9.51"/>
    <col collapsed="false" customWidth="true" hidden="false" outlineLevel="0" max="33" min="33" style="0" width="10"/>
    <col collapsed="false" customWidth="true" hidden="false" outlineLevel="0" max="34" min="34" style="0" width="50"/>
  </cols>
  <sheetData>
    <row r="1" customFormat="false" ht="25.5" hidden="false" customHeight="true" outlineLevel="0" collapsed="false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customFormat="false" ht="15" hidden="false" customHeight="false" outlineLevel="0" collapsed="false">
      <c r="A2" s="23" t="s">
        <v>34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</row>
    <row r="3" customFormat="false" ht="18" hidden="false" customHeight="true" outlineLevel="0" collapsed="false">
      <c r="A3" s="28"/>
      <c r="B3" s="29" t="s">
        <v>35</v>
      </c>
      <c r="C3" s="29"/>
      <c r="D3" s="29"/>
      <c r="E3" s="29"/>
      <c r="F3" s="29"/>
      <c r="G3" s="29"/>
      <c r="H3" s="29"/>
      <c r="I3" s="29"/>
      <c r="J3" s="30" t="s">
        <v>36</v>
      </c>
      <c r="K3" s="30"/>
      <c r="L3" s="30"/>
      <c r="M3" s="30"/>
      <c r="N3" s="30"/>
      <c r="O3" s="30"/>
      <c r="P3" s="30"/>
      <c r="Q3" s="30"/>
      <c r="R3" s="31" t="s">
        <v>37</v>
      </c>
      <c r="S3" s="31"/>
      <c r="T3" s="31"/>
      <c r="U3" s="32" t="s">
        <v>38</v>
      </c>
      <c r="V3" s="32"/>
      <c r="W3" s="32"/>
      <c r="X3" s="32"/>
      <c r="Y3" s="32"/>
      <c r="Z3" s="33" t="s">
        <v>39</v>
      </c>
      <c r="AA3" s="33"/>
      <c r="AB3" s="33"/>
      <c r="AC3" s="33"/>
      <c r="AD3" s="33"/>
      <c r="AE3" s="34" t="s">
        <v>40</v>
      </c>
      <c r="AF3" s="34"/>
      <c r="AG3" s="34"/>
      <c r="AH3" s="35" t="s">
        <v>41</v>
      </c>
    </row>
    <row r="4" customFormat="false" ht="30" hidden="false" customHeight="true" outlineLevel="0" collapsed="false">
      <c r="A4" s="36" t="s">
        <v>42</v>
      </c>
      <c r="B4" s="37" t="s">
        <v>43</v>
      </c>
      <c r="C4" s="37" t="s">
        <v>44</v>
      </c>
      <c r="D4" s="37" t="s">
        <v>45</v>
      </c>
      <c r="E4" s="37" t="s">
        <v>46</v>
      </c>
      <c r="F4" s="37" t="s">
        <v>47</v>
      </c>
      <c r="G4" s="37" t="s">
        <v>48</v>
      </c>
      <c r="H4" s="37" t="s">
        <v>49</v>
      </c>
      <c r="I4" s="37" t="s">
        <v>50</v>
      </c>
      <c r="J4" s="38" t="s">
        <v>43</v>
      </c>
      <c r="K4" s="38" t="s">
        <v>44</v>
      </c>
      <c r="L4" s="38" t="s">
        <v>45</v>
      </c>
      <c r="M4" s="38" t="s">
        <v>46</v>
      </c>
      <c r="N4" s="38" t="s">
        <v>47</v>
      </c>
      <c r="O4" s="38" t="s">
        <v>48</v>
      </c>
      <c r="P4" s="38" t="s">
        <v>49</v>
      </c>
      <c r="Q4" s="38" t="s">
        <v>50</v>
      </c>
      <c r="R4" s="39" t="s">
        <v>51</v>
      </c>
      <c r="S4" s="39" t="s">
        <v>52</v>
      </c>
      <c r="T4" s="39" t="s">
        <v>53</v>
      </c>
      <c r="U4" s="40" t="s">
        <v>54</v>
      </c>
      <c r="V4" s="40" t="s">
        <v>55</v>
      </c>
      <c r="W4" s="40" t="s">
        <v>56</v>
      </c>
      <c r="X4" s="40" t="s">
        <v>57</v>
      </c>
      <c r="Y4" s="40" t="s">
        <v>58</v>
      </c>
      <c r="Z4" s="41" t="s">
        <v>59</v>
      </c>
      <c r="AA4" s="41" t="s">
        <v>60</v>
      </c>
      <c r="AB4" s="41" t="s">
        <v>61</v>
      </c>
      <c r="AC4" s="41" t="s">
        <v>62</v>
      </c>
      <c r="AD4" s="41" t="s">
        <v>63</v>
      </c>
      <c r="AE4" s="42" t="s">
        <v>64</v>
      </c>
      <c r="AF4" s="42" t="s">
        <v>65</v>
      </c>
      <c r="AG4" s="42" t="s">
        <v>66</v>
      </c>
      <c r="AH4" s="43" t="s">
        <v>67</v>
      </c>
    </row>
    <row r="5" customFormat="false" ht="19.5" hidden="false" customHeight="true" outlineLevel="0" collapsed="false">
      <c r="A5" s="44" t="n">
        <v>46317</v>
      </c>
      <c r="B5" s="45"/>
      <c r="C5" s="45"/>
      <c r="D5" s="45"/>
      <c r="E5" s="45"/>
      <c r="F5" s="45"/>
      <c r="G5" s="45"/>
      <c r="H5" s="45"/>
      <c r="I5" s="45"/>
      <c r="J5" s="46"/>
      <c r="K5" s="46"/>
      <c r="L5" s="46"/>
      <c r="M5" s="46"/>
      <c r="N5" s="46"/>
      <c r="O5" s="46"/>
      <c r="P5" s="46"/>
      <c r="Q5" s="46"/>
      <c r="R5" s="47"/>
      <c r="S5" s="47"/>
      <c r="T5" s="48" t="n">
        <v>73084</v>
      </c>
      <c r="U5" s="49"/>
      <c r="V5" s="47"/>
      <c r="W5" s="46"/>
      <c r="X5" s="46"/>
      <c r="Y5" s="46"/>
      <c r="Z5" s="49"/>
      <c r="AA5" s="49"/>
      <c r="AB5" s="49"/>
      <c r="AC5" s="48" t="n">
        <v>1107</v>
      </c>
      <c r="AD5" s="47"/>
      <c r="AE5" s="48" t="n">
        <v>9500</v>
      </c>
      <c r="AF5" s="49"/>
      <c r="AG5" s="47"/>
      <c r="AH5" s="50" t="s">
        <v>68</v>
      </c>
    </row>
    <row r="6" customFormat="false" ht="19.5" hidden="false" customHeight="true" outlineLevel="0" collapsed="false">
      <c r="A6" s="44" t="n">
        <v>46318</v>
      </c>
      <c r="B6" s="51" t="n">
        <v>103</v>
      </c>
      <c r="C6" s="51" t="n">
        <v>91</v>
      </c>
      <c r="D6" s="51" t="n">
        <v>91</v>
      </c>
      <c r="E6" s="51" t="n">
        <v>115</v>
      </c>
      <c r="F6" s="51" t="n">
        <v>103</v>
      </c>
      <c r="G6" s="51" t="n">
        <v>91</v>
      </c>
      <c r="H6" s="51" t="n">
        <v>91</v>
      </c>
      <c r="I6" s="51" t="n">
        <v>115</v>
      </c>
      <c r="J6" s="52" t="n">
        <f aca="false">IF(B6="","",IFERROR(ROUND(VLOOKUP(INT(B6),'Tank Tables'!$A$5:$B$121,2,FALSE())+(B6-INT(B6))*(VLOOKUP(INT(B6)+1,'Tank Tables'!$A$5:$B$121,2,FALSE())-VLOOKUP(INT(B6),'Tank Tables'!$A$5:$B$121,2,FALSE())),0),IFERROR(ROUND(VLOOKUP(INT(B6),'Tank Tables'!$A$5:$B$121,2,FALSE()),0),"?")))</f>
        <v>15000</v>
      </c>
      <c r="K6" s="52" t="n">
        <f aca="false">IF(C6="","",IFERROR(ROUND(VLOOKUP(INT(C6),'Tank Tables'!$C$5:$D$130,2,FALSE())+(C6-INT(C6))*(VLOOKUP(INT(C6)+1,'Tank Tables'!$C$5:$D$130,2,FALSE())-VLOOKUP(INT(C6),'Tank Tables'!$C$5:$D$130,2,FALSE())),0),IFERROR(ROUND(VLOOKUP(INT(C6),'Tank Tables'!$C$5:$D$130,2,FALSE()),0),"?")))</f>
        <v>9692</v>
      </c>
      <c r="L6" s="52" t="n">
        <f aca="false">IF(D6="","",IFERROR(ROUND(VLOOKUP(INT(D6),'Tank Tables'!$E$5:$F$130,2,FALSE())+(D6-INT(D6))*(VLOOKUP(INT(D6)+1,'Tank Tables'!$E$5:$F$130,2,FALSE())-VLOOKUP(INT(D6),'Tank Tables'!$E$5:$F$130,2,FALSE())),0),IFERROR(ROUND(VLOOKUP(INT(D6),'Tank Tables'!$E$5:$F$130,2,FALSE()),0),"?")))</f>
        <v>7423</v>
      </c>
      <c r="M6" s="52" t="n">
        <f aca="false">IF(E6="","",IFERROR(ROUND(VLOOKUP(INT(E6),'Tank Tables'!$G$5:$H$130,2,FALSE())+(E6-INT(E6))*(VLOOKUP(INT(E6)+1,'Tank Tables'!$G$5:$H$130,2,FALSE())-VLOOKUP(INT(E6),'Tank Tables'!$G$5:$H$130,2,FALSE())),0),IFERROR(ROUND(VLOOKUP(INT(E6),'Tank Tables'!$G$5:$H$130,2,FALSE()),0),"?")))</f>
        <v>8984</v>
      </c>
      <c r="N6" s="52" t="n">
        <f aca="false">IF(F6="","",IFERROR(ROUND(VLOOKUP(INT(F6),'Tank Tables'!$A$5:$B$121,2,FALSE())+(F6-INT(F6))*(VLOOKUP(INT(F6)+1,'Tank Tables'!$A$5:$B$121,2,FALSE())-VLOOKUP(INT(F6),'Tank Tables'!$A$5:$B$121,2,FALSE())),0),IFERROR(ROUND(VLOOKUP(INT(F6),'Tank Tables'!$A$5:$B$121,2,FALSE()),0),"?")))</f>
        <v>15000</v>
      </c>
      <c r="O6" s="52" t="n">
        <f aca="false">IF(G6="","",IFERROR(ROUND(VLOOKUP(INT(G6),'Tank Tables'!$C$5:$D$130,2,FALSE())+(G6-INT(G6))*(VLOOKUP(INT(G6)+1,'Tank Tables'!$C$5:$D$130,2,FALSE())-VLOOKUP(INT(G6),'Tank Tables'!$C$5:$D$130,2,FALSE())),0),IFERROR(ROUND(VLOOKUP(INT(G6),'Tank Tables'!$C$5:$D$130,2,FALSE()),0),"?")))</f>
        <v>9692</v>
      </c>
      <c r="P6" s="52" t="n">
        <f aca="false">IF(H6="","",IFERROR(ROUND(VLOOKUP(INT(H6),'Tank Tables'!$E$5:$F$130,2,FALSE())+(H6-INT(H6))*(VLOOKUP(INT(H6)+1,'Tank Tables'!$E$5:$F$130,2,FALSE())-VLOOKUP(INT(H6),'Tank Tables'!$E$5:$F$130,2,FALSE())),0),IFERROR(ROUND(VLOOKUP(INT(H6),'Tank Tables'!$E$5:$F$130,2,FALSE()),0),"?")))</f>
        <v>7423</v>
      </c>
      <c r="Q6" s="52" t="n">
        <f aca="false">IF(I6="","",IFERROR(ROUND(VLOOKUP(INT(I6),'Tank Tables'!$G$5:$H$130,2,FALSE())+(I6-INT(I6))*(VLOOKUP(INT(I6)+1,'Tank Tables'!$G$5:$H$130,2,FALSE())-VLOOKUP(INT(I6),'Tank Tables'!$G$5:$H$130,2,FALSE())),0),IFERROR(ROUND(VLOOKUP(INT(I6),'Tank Tables'!$G$5:$H$130,2,FALSE()),0),"?")))</f>
        <v>8984</v>
      </c>
      <c r="R6" s="47" t="n">
        <f aca="false">IF(COUNT(J6:M6)=0,"",SUM(J6:M6))</f>
        <v>41099</v>
      </c>
      <c r="S6" s="47" t="n">
        <f aca="false">IF(COUNT(N6:Q6)=0,"",SUM(N6:Q6))</f>
        <v>41099</v>
      </c>
      <c r="T6" s="53" t="n">
        <f aca="false">IF(COUNT(R6:S6)=0,"",SUM(R6:S6))</f>
        <v>82198</v>
      </c>
      <c r="U6" s="54" t="n">
        <v>10009</v>
      </c>
      <c r="V6" s="47" t="n">
        <f aca="false">IF(T6="","",IF(T5="","",T5+U6-T6))</f>
        <v>895</v>
      </c>
      <c r="W6" s="52" t="n">
        <f aca="false">IF(T6="","",Settings!$C$7-T6)</f>
        <v>9302</v>
      </c>
      <c r="X6" s="52" t="n">
        <f aca="false">IF(T6="","",MAX(0,INT(W6/Settings!$C$8)))</f>
        <v>1</v>
      </c>
      <c r="Y6" s="55" t="str">
        <f aca="false">IF(T6="","",IF(X6&gt;=2,"ROOM FOR "&amp;X6&amp;" TRUCKS",IF(X6=1,"ROOM FOR 1 TRUCK","")))</f>
        <v>ROOM FOR 1 TRUCK</v>
      </c>
      <c r="Z6" s="54"/>
      <c r="AA6" s="54"/>
      <c r="AB6" s="54"/>
      <c r="AC6" s="47" t="str">
        <f aca="false">IF(COUNT(Z6:AA6)=0,"",SUM(Z6:AA6))</f>
        <v/>
      </c>
      <c r="AD6" s="47" t="str">
        <f aca="false">IF(AC6="","",IF(AC5="","",AC5+AB6-AC6))</f>
        <v/>
      </c>
      <c r="AE6" s="54" t="n">
        <v>15000</v>
      </c>
      <c r="AF6" s="54" t="n">
        <v>6000</v>
      </c>
      <c r="AG6" s="47" t="n">
        <f aca="false">IF(AE6="","",IF(AE5="","",AE5+AF6-AE6))</f>
        <v>500</v>
      </c>
      <c r="AH6" s="56" t="s">
        <v>69</v>
      </c>
    </row>
    <row r="7" customFormat="false" ht="19.5" hidden="false" customHeight="true" outlineLevel="0" collapsed="false">
      <c r="A7" s="44"/>
      <c r="B7" s="51"/>
      <c r="C7" s="51"/>
      <c r="D7" s="51"/>
      <c r="E7" s="51"/>
      <c r="F7" s="51"/>
      <c r="G7" s="51"/>
      <c r="H7" s="51"/>
      <c r="I7" s="51"/>
      <c r="J7" s="46" t="str">
        <f aca="false">IF(B7="","",IFERROR(ROUND(VLOOKUP(INT(B7),'Tank Tables'!$A$5:$B$121,2,FALSE())+(B7-INT(B7))*(VLOOKUP(INT(B7)+1,'Tank Tables'!$A$5:$B$121,2,FALSE())-VLOOKUP(INT(B7),'Tank Tables'!$A$5:$B$121,2,FALSE())),0),IFERROR(ROUND(VLOOKUP(INT(B7),'Tank Tables'!$A$5:$B$121,2,FALSE()),0),"?")))</f>
        <v/>
      </c>
      <c r="K7" s="46" t="str">
        <f aca="false">IF(C7="","",IFERROR(ROUND(VLOOKUP(INT(C7),'Tank Tables'!$C$5:$D$130,2,FALSE())+(C7-INT(C7))*(VLOOKUP(INT(C7)+1,'Tank Tables'!$C$5:$D$130,2,FALSE())-VLOOKUP(INT(C7),'Tank Tables'!$C$5:$D$130,2,FALSE())),0),IFERROR(ROUND(VLOOKUP(INT(C7),'Tank Tables'!$C$5:$D$130,2,FALSE()),0),"?")))</f>
        <v/>
      </c>
      <c r="L7" s="46" t="str">
        <f aca="false">IF(D7="","",IFERROR(ROUND(VLOOKUP(INT(D7),'Tank Tables'!$E$5:$F$130,2,FALSE())+(D7-INT(D7))*(VLOOKUP(INT(D7)+1,'Tank Tables'!$E$5:$F$130,2,FALSE())-VLOOKUP(INT(D7),'Tank Tables'!$E$5:$F$130,2,FALSE())),0),IFERROR(ROUND(VLOOKUP(INT(D7),'Tank Tables'!$E$5:$F$130,2,FALSE()),0),"?")))</f>
        <v/>
      </c>
      <c r="M7" s="46" t="str">
        <f aca="false">IF(E7="","",IFERROR(ROUND(VLOOKUP(INT(E7),'Tank Tables'!$G$5:$H$130,2,FALSE())+(E7-INT(E7))*(VLOOKUP(INT(E7)+1,'Tank Tables'!$G$5:$H$130,2,FALSE())-VLOOKUP(INT(E7),'Tank Tables'!$G$5:$H$130,2,FALSE())),0),IFERROR(ROUND(VLOOKUP(INT(E7),'Tank Tables'!$G$5:$H$130,2,FALSE()),0),"?")))</f>
        <v/>
      </c>
      <c r="N7" s="46" t="str">
        <f aca="false">IF(F7="","",IFERROR(ROUND(VLOOKUP(INT(F7),'Tank Tables'!$A$5:$B$121,2,FALSE())+(F7-INT(F7))*(VLOOKUP(INT(F7)+1,'Tank Tables'!$A$5:$B$121,2,FALSE())-VLOOKUP(INT(F7),'Tank Tables'!$A$5:$B$121,2,FALSE())),0),IFERROR(ROUND(VLOOKUP(INT(F7),'Tank Tables'!$A$5:$B$121,2,FALSE()),0),"?")))</f>
        <v/>
      </c>
      <c r="O7" s="46" t="str">
        <f aca="false">IF(G7="","",IFERROR(ROUND(VLOOKUP(INT(G7),'Tank Tables'!$C$5:$D$130,2,FALSE())+(G7-INT(G7))*(VLOOKUP(INT(G7)+1,'Tank Tables'!$C$5:$D$130,2,FALSE())-VLOOKUP(INT(G7),'Tank Tables'!$C$5:$D$130,2,FALSE())),0),IFERROR(ROUND(VLOOKUP(INT(G7),'Tank Tables'!$C$5:$D$130,2,FALSE()),0),"?")))</f>
        <v/>
      </c>
      <c r="P7" s="46" t="str">
        <f aca="false">IF(H7="","",IFERROR(ROUND(VLOOKUP(INT(H7),'Tank Tables'!$E$5:$F$130,2,FALSE())+(H7-INT(H7))*(VLOOKUP(INT(H7)+1,'Tank Tables'!$E$5:$F$130,2,FALSE())-VLOOKUP(INT(H7),'Tank Tables'!$E$5:$F$130,2,FALSE())),0),IFERROR(ROUND(VLOOKUP(INT(H7),'Tank Tables'!$E$5:$F$130,2,FALSE()),0),"?")))</f>
        <v/>
      </c>
      <c r="Q7" s="46" t="str">
        <f aca="false">IF(I7="","",IFERROR(ROUND(VLOOKUP(INT(I7),'Tank Tables'!$G$5:$H$130,2,FALSE())+(I7-INT(I7))*(VLOOKUP(INT(I7)+1,'Tank Tables'!$G$5:$H$130,2,FALSE())-VLOOKUP(INT(I7),'Tank Tables'!$G$5:$H$130,2,FALSE())),0),IFERROR(ROUND(VLOOKUP(INT(I7),'Tank Tables'!$G$5:$H$130,2,FALSE()),0),"?")))</f>
        <v/>
      </c>
      <c r="R7" s="47" t="str">
        <f aca="false">IF(COUNT(J7:M7)=0,"",SUM(J7:M7))</f>
        <v/>
      </c>
      <c r="S7" s="47" t="str">
        <f aca="false">IF(COUNT(N7:Q7)=0,"",SUM(N7:Q7))</f>
        <v/>
      </c>
      <c r="T7" s="53" t="str">
        <f aca="false">IF(COUNT(R7:S7)=0,"",SUM(R7:S7))</f>
        <v/>
      </c>
      <c r="U7" s="54"/>
      <c r="V7" s="47" t="str">
        <f aca="false">IF(T7="","",IF(T6="","",T6+U7-T7))</f>
        <v/>
      </c>
      <c r="W7" s="46" t="str">
        <f aca="false">IF(T7="","",Settings!$C$7-T7)</f>
        <v/>
      </c>
      <c r="X7" s="46" t="str">
        <f aca="false">IF(T7="","",MAX(0,INT(W7/Settings!$C$8)))</f>
        <v/>
      </c>
      <c r="Y7" s="57" t="str">
        <f aca="false">IF(T7="","",IF(X7&gt;=2,"ROOM FOR "&amp;X7&amp;" TRUCKS",IF(X7=1,"ROOM FOR 1 TRUCK","")))</f>
        <v/>
      </c>
      <c r="Z7" s="54"/>
      <c r="AA7" s="54"/>
      <c r="AB7" s="54"/>
      <c r="AC7" s="47" t="str">
        <f aca="false">IF(COUNT(Z7:AA7)=0,"",SUM(Z7:AA7))</f>
        <v/>
      </c>
      <c r="AD7" s="47" t="str">
        <f aca="false">IF(AC7="","",IF(AC6="","",AC6+AB7-AC7))</f>
        <v/>
      </c>
      <c r="AE7" s="54"/>
      <c r="AF7" s="54"/>
      <c r="AG7" s="47" t="str">
        <f aca="false">IF(AE7="","",IF(AE6="","",AE6+AF7-AE7))</f>
        <v/>
      </c>
      <c r="AH7" s="58"/>
    </row>
    <row r="8" customFormat="false" ht="19.5" hidden="false" customHeight="true" outlineLevel="0" collapsed="false">
      <c r="A8" s="44"/>
      <c r="B8" s="51"/>
      <c r="C8" s="51"/>
      <c r="D8" s="51"/>
      <c r="E8" s="51"/>
      <c r="F8" s="51"/>
      <c r="G8" s="51"/>
      <c r="H8" s="51"/>
      <c r="I8" s="51"/>
      <c r="J8" s="52" t="str">
        <f aca="false">IF(B8="","",IFERROR(ROUND(VLOOKUP(INT(B8),'Tank Tables'!$A$5:$B$121,2,FALSE())+(B8-INT(B8))*(VLOOKUP(INT(B8)+1,'Tank Tables'!$A$5:$B$121,2,FALSE())-VLOOKUP(INT(B8),'Tank Tables'!$A$5:$B$121,2,FALSE())),0),IFERROR(ROUND(VLOOKUP(INT(B8),'Tank Tables'!$A$5:$B$121,2,FALSE()),0),"?")))</f>
        <v/>
      </c>
      <c r="K8" s="52" t="str">
        <f aca="false">IF(C8="","",IFERROR(ROUND(VLOOKUP(INT(C8),'Tank Tables'!$C$5:$D$130,2,FALSE())+(C8-INT(C8))*(VLOOKUP(INT(C8)+1,'Tank Tables'!$C$5:$D$130,2,FALSE())-VLOOKUP(INT(C8),'Tank Tables'!$C$5:$D$130,2,FALSE())),0),IFERROR(ROUND(VLOOKUP(INT(C8),'Tank Tables'!$C$5:$D$130,2,FALSE()),0),"?")))</f>
        <v/>
      </c>
      <c r="L8" s="52" t="str">
        <f aca="false">IF(D8="","",IFERROR(ROUND(VLOOKUP(INT(D8),'Tank Tables'!$E$5:$F$130,2,FALSE())+(D8-INT(D8))*(VLOOKUP(INT(D8)+1,'Tank Tables'!$E$5:$F$130,2,FALSE())-VLOOKUP(INT(D8),'Tank Tables'!$E$5:$F$130,2,FALSE())),0),IFERROR(ROUND(VLOOKUP(INT(D8),'Tank Tables'!$E$5:$F$130,2,FALSE()),0),"?")))</f>
        <v/>
      </c>
      <c r="M8" s="52" t="str">
        <f aca="false">IF(E8="","",IFERROR(ROUND(VLOOKUP(INT(E8),'Tank Tables'!$G$5:$H$130,2,FALSE())+(E8-INT(E8))*(VLOOKUP(INT(E8)+1,'Tank Tables'!$G$5:$H$130,2,FALSE())-VLOOKUP(INT(E8),'Tank Tables'!$G$5:$H$130,2,FALSE())),0),IFERROR(ROUND(VLOOKUP(INT(E8),'Tank Tables'!$G$5:$H$130,2,FALSE()),0),"?")))</f>
        <v/>
      </c>
      <c r="N8" s="52" t="str">
        <f aca="false">IF(F8="","",IFERROR(ROUND(VLOOKUP(INT(F8),'Tank Tables'!$A$5:$B$121,2,FALSE())+(F8-INT(F8))*(VLOOKUP(INT(F8)+1,'Tank Tables'!$A$5:$B$121,2,FALSE())-VLOOKUP(INT(F8),'Tank Tables'!$A$5:$B$121,2,FALSE())),0),IFERROR(ROUND(VLOOKUP(INT(F8),'Tank Tables'!$A$5:$B$121,2,FALSE()),0),"?")))</f>
        <v/>
      </c>
      <c r="O8" s="52" t="str">
        <f aca="false">IF(G8="","",IFERROR(ROUND(VLOOKUP(INT(G8),'Tank Tables'!$C$5:$D$130,2,FALSE())+(G8-INT(G8))*(VLOOKUP(INT(G8)+1,'Tank Tables'!$C$5:$D$130,2,FALSE())-VLOOKUP(INT(G8),'Tank Tables'!$C$5:$D$130,2,FALSE())),0),IFERROR(ROUND(VLOOKUP(INT(G8),'Tank Tables'!$C$5:$D$130,2,FALSE()),0),"?")))</f>
        <v/>
      </c>
      <c r="P8" s="52" t="str">
        <f aca="false">IF(H8="","",IFERROR(ROUND(VLOOKUP(INT(H8),'Tank Tables'!$E$5:$F$130,2,FALSE())+(H8-INT(H8))*(VLOOKUP(INT(H8)+1,'Tank Tables'!$E$5:$F$130,2,FALSE())-VLOOKUP(INT(H8),'Tank Tables'!$E$5:$F$130,2,FALSE())),0),IFERROR(ROUND(VLOOKUP(INT(H8),'Tank Tables'!$E$5:$F$130,2,FALSE()),0),"?")))</f>
        <v/>
      </c>
      <c r="Q8" s="52" t="str">
        <f aca="false">IF(I8="","",IFERROR(ROUND(VLOOKUP(INT(I8),'Tank Tables'!$G$5:$H$130,2,FALSE())+(I8-INT(I8))*(VLOOKUP(INT(I8)+1,'Tank Tables'!$G$5:$H$130,2,FALSE())-VLOOKUP(INT(I8),'Tank Tables'!$G$5:$H$130,2,FALSE())),0),IFERROR(ROUND(VLOOKUP(INT(I8),'Tank Tables'!$G$5:$H$130,2,FALSE()),0),"?")))</f>
        <v/>
      </c>
      <c r="R8" s="47" t="str">
        <f aca="false">IF(COUNT(J8:M8)=0,"",SUM(J8:M8))</f>
        <v/>
      </c>
      <c r="S8" s="47" t="str">
        <f aca="false">IF(COUNT(N8:Q8)=0,"",SUM(N8:Q8))</f>
        <v/>
      </c>
      <c r="T8" s="53" t="str">
        <f aca="false">IF(COUNT(R8:S8)=0,"",SUM(R8:S8))</f>
        <v/>
      </c>
      <c r="U8" s="54"/>
      <c r="V8" s="47" t="str">
        <f aca="false">IF(T8="","",IF(T7="","",T7+U8-T8))</f>
        <v/>
      </c>
      <c r="W8" s="52" t="str">
        <f aca="false">IF(T8="","",Settings!$C$7-T8)</f>
        <v/>
      </c>
      <c r="X8" s="52" t="str">
        <f aca="false">IF(T8="","",MAX(0,INT(W8/Settings!$C$8)))</f>
        <v/>
      </c>
      <c r="Y8" s="55" t="str">
        <f aca="false">IF(T8="","",IF(X8&gt;=2,"ROOM FOR "&amp;X8&amp;" TRUCKS",IF(X8=1,"ROOM FOR 1 TRUCK","")))</f>
        <v/>
      </c>
      <c r="Z8" s="54"/>
      <c r="AA8" s="54"/>
      <c r="AB8" s="54"/>
      <c r="AC8" s="47" t="str">
        <f aca="false">IF(COUNT(Z8:AA8)=0,"",SUM(Z8:AA8))</f>
        <v/>
      </c>
      <c r="AD8" s="47" t="str">
        <f aca="false">IF(AC8="","",IF(AC7="","",AC7+AB8-AC8))</f>
        <v/>
      </c>
      <c r="AE8" s="54"/>
      <c r="AF8" s="54"/>
      <c r="AG8" s="47" t="str">
        <f aca="false">IF(AE8="","",IF(AE7="","",AE7+AF8-AE8))</f>
        <v/>
      </c>
      <c r="AH8" s="59"/>
    </row>
    <row r="9" customFormat="false" ht="19.5" hidden="false" customHeight="true" outlineLevel="0" collapsed="false">
      <c r="A9" s="44"/>
      <c r="B9" s="51"/>
      <c r="C9" s="51"/>
      <c r="D9" s="51"/>
      <c r="E9" s="51"/>
      <c r="F9" s="51"/>
      <c r="G9" s="51"/>
      <c r="H9" s="51"/>
      <c r="I9" s="51"/>
      <c r="J9" s="46" t="str">
        <f aca="false">IF(B9="","",IFERROR(ROUND(VLOOKUP(INT(B9),'Tank Tables'!$A$5:$B$121,2,FALSE())+(B9-INT(B9))*(VLOOKUP(INT(B9)+1,'Tank Tables'!$A$5:$B$121,2,FALSE())-VLOOKUP(INT(B9),'Tank Tables'!$A$5:$B$121,2,FALSE())),0),IFERROR(ROUND(VLOOKUP(INT(B9),'Tank Tables'!$A$5:$B$121,2,FALSE()),0),"?")))</f>
        <v/>
      </c>
      <c r="K9" s="46" t="str">
        <f aca="false">IF(C9="","",IFERROR(ROUND(VLOOKUP(INT(C9),'Tank Tables'!$C$5:$D$130,2,FALSE())+(C9-INT(C9))*(VLOOKUP(INT(C9)+1,'Tank Tables'!$C$5:$D$130,2,FALSE())-VLOOKUP(INT(C9),'Tank Tables'!$C$5:$D$130,2,FALSE())),0),IFERROR(ROUND(VLOOKUP(INT(C9),'Tank Tables'!$C$5:$D$130,2,FALSE()),0),"?")))</f>
        <v/>
      </c>
      <c r="L9" s="46" t="str">
        <f aca="false">IF(D9="","",IFERROR(ROUND(VLOOKUP(INT(D9),'Tank Tables'!$E$5:$F$130,2,FALSE())+(D9-INT(D9))*(VLOOKUP(INT(D9)+1,'Tank Tables'!$E$5:$F$130,2,FALSE())-VLOOKUP(INT(D9),'Tank Tables'!$E$5:$F$130,2,FALSE())),0),IFERROR(ROUND(VLOOKUP(INT(D9),'Tank Tables'!$E$5:$F$130,2,FALSE()),0),"?")))</f>
        <v/>
      </c>
      <c r="M9" s="46" t="str">
        <f aca="false">IF(E9="","",IFERROR(ROUND(VLOOKUP(INT(E9),'Tank Tables'!$G$5:$H$130,2,FALSE())+(E9-INT(E9))*(VLOOKUP(INT(E9)+1,'Tank Tables'!$G$5:$H$130,2,FALSE())-VLOOKUP(INT(E9),'Tank Tables'!$G$5:$H$130,2,FALSE())),0),IFERROR(ROUND(VLOOKUP(INT(E9),'Tank Tables'!$G$5:$H$130,2,FALSE()),0),"?")))</f>
        <v/>
      </c>
      <c r="N9" s="46" t="str">
        <f aca="false">IF(F9="","",IFERROR(ROUND(VLOOKUP(INT(F9),'Tank Tables'!$A$5:$B$121,2,FALSE())+(F9-INT(F9))*(VLOOKUP(INT(F9)+1,'Tank Tables'!$A$5:$B$121,2,FALSE())-VLOOKUP(INT(F9),'Tank Tables'!$A$5:$B$121,2,FALSE())),0),IFERROR(ROUND(VLOOKUP(INT(F9),'Tank Tables'!$A$5:$B$121,2,FALSE()),0),"?")))</f>
        <v/>
      </c>
      <c r="O9" s="46" t="str">
        <f aca="false">IF(G9="","",IFERROR(ROUND(VLOOKUP(INT(G9),'Tank Tables'!$C$5:$D$130,2,FALSE())+(G9-INT(G9))*(VLOOKUP(INT(G9)+1,'Tank Tables'!$C$5:$D$130,2,FALSE())-VLOOKUP(INT(G9),'Tank Tables'!$C$5:$D$130,2,FALSE())),0),IFERROR(ROUND(VLOOKUP(INT(G9),'Tank Tables'!$C$5:$D$130,2,FALSE()),0),"?")))</f>
        <v/>
      </c>
      <c r="P9" s="46" t="str">
        <f aca="false">IF(H9="","",IFERROR(ROUND(VLOOKUP(INT(H9),'Tank Tables'!$E$5:$F$130,2,FALSE())+(H9-INT(H9))*(VLOOKUP(INT(H9)+1,'Tank Tables'!$E$5:$F$130,2,FALSE())-VLOOKUP(INT(H9),'Tank Tables'!$E$5:$F$130,2,FALSE())),0),IFERROR(ROUND(VLOOKUP(INT(H9),'Tank Tables'!$E$5:$F$130,2,FALSE()),0),"?")))</f>
        <v/>
      </c>
      <c r="Q9" s="46" t="str">
        <f aca="false">IF(I9="","",IFERROR(ROUND(VLOOKUP(INT(I9),'Tank Tables'!$G$5:$H$130,2,FALSE())+(I9-INT(I9))*(VLOOKUP(INT(I9)+1,'Tank Tables'!$G$5:$H$130,2,FALSE())-VLOOKUP(INT(I9),'Tank Tables'!$G$5:$H$130,2,FALSE())),0),IFERROR(ROUND(VLOOKUP(INT(I9),'Tank Tables'!$G$5:$H$130,2,FALSE()),0),"?")))</f>
        <v/>
      </c>
      <c r="R9" s="47" t="str">
        <f aca="false">IF(COUNT(J9:M9)=0,"",SUM(J9:M9))</f>
        <v/>
      </c>
      <c r="S9" s="47" t="str">
        <f aca="false">IF(COUNT(N9:Q9)=0,"",SUM(N9:Q9))</f>
        <v/>
      </c>
      <c r="T9" s="53" t="str">
        <f aca="false">IF(COUNT(R9:S9)=0,"",SUM(R9:S9))</f>
        <v/>
      </c>
      <c r="U9" s="54"/>
      <c r="V9" s="47" t="str">
        <f aca="false">IF(T9="","",IF(T8="","",T8+U9-T9))</f>
        <v/>
      </c>
      <c r="W9" s="46" t="str">
        <f aca="false">IF(T9="","",Settings!$C$7-T9)</f>
        <v/>
      </c>
      <c r="X9" s="46" t="str">
        <f aca="false">IF(T9="","",MAX(0,INT(W9/Settings!$C$8)))</f>
        <v/>
      </c>
      <c r="Y9" s="57" t="str">
        <f aca="false">IF(T9="","",IF(X9&gt;=2,"ROOM FOR "&amp;X9&amp;" TRUCKS",IF(X9=1,"ROOM FOR 1 TRUCK","")))</f>
        <v/>
      </c>
      <c r="Z9" s="54"/>
      <c r="AA9" s="54"/>
      <c r="AB9" s="54"/>
      <c r="AC9" s="47" t="str">
        <f aca="false">IF(COUNT(Z9:AA9)=0,"",SUM(Z9:AA9))</f>
        <v/>
      </c>
      <c r="AD9" s="47" t="str">
        <f aca="false">IF(AC9="","",IF(AC8="","",AC8+AB9-AC9))</f>
        <v/>
      </c>
      <c r="AE9" s="54"/>
      <c r="AF9" s="54"/>
      <c r="AG9" s="47" t="str">
        <f aca="false">IF(AE9="","",IF(AE8="","",AE8+AF9-AE9))</f>
        <v/>
      </c>
      <c r="AH9" s="58"/>
    </row>
    <row r="10" customFormat="false" ht="19.5" hidden="false" customHeight="true" outlineLevel="0" collapsed="false">
      <c r="A10" s="44"/>
      <c r="B10" s="51"/>
      <c r="C10" s="51"/>
      <c r="D10" s="51"/>
      <c r="E10" s="51"/>
      <c r="F10" s="51"/>
      <c r="G10" s="51"/>
      <c r="H10" s="51"/>
      <c r="I10" s="51"/>
      <c r="J10" s="52" t="str">
        <f aca="false">IF(B10="","",IFERROR(ROUND(VLOOKUP(INT(B10),'Tank Tables'!$A$5:$B$121,2,FALSE())+(B10-INT(B10))*(VLOOKUP(INT(B10)+1,'Tank Tables'!$A$5:$B$121,2,FALSE())-VLOOKUP(INT(B10),'Tank Tables'!$A$5:$B$121,2,FALSE())),0),IFERROR(ROUND(VLOOKUP(INT(B10),'Tank Tables'!$A$5:$B$121,2,FALSE()),0),"?")))</f>
        <v/>
      </c>
      <c r="K10" s="52" t="str">
        <f aca="false">IF(C10="","",IFERROR(ROUND(VLOOKUP(INT(C10),'Tank Tables'!$C$5:$D$130,2,FALSE())+(C10-INT(C10))*(VLOOKUP(INT(C10)+1,'Tank Tables'!$C$5:$D$130,2,FALSE())-VLOOKUP(INT(C10),'Tank Tables'!$C$5:$D$130,2,FALSE())),0),IFERROR(ROUND(VLOOKUP(INT(C10),'Tank Tables'!$C$5:$D$130,2,FALSE()),0),"?")))</f>
        <v/>
      </c>
      <c r="L10" s="52" t="str">
        <f aca="false">IF(D10="","",IFERROR(ROUND(VLOOKUP(INT(D10),'Tank Tables'!$E$5:$F$130,2,FALSE())+(D10-INT(D10))*(VLOOKUP(INT(D10)+1,'Tank Tables'!$E$5:$F$130,2,FALSE())-VLOOKUP(INT(D10),'Tank Tables'!$E$5:$F$130,2,FALSE())),0),IFERROR(ROUND(VLOOKUP(INT(D10),'Tank Tables'!$E$5:$F$130,2,FALSE()),0),"?")))</f>
        <v/>
      </c>
      <c r="M10" s="52" t="str">
        <f aca="false">IF(E10="","",IFERROR(ROUND(VLOOKUP(INT(E10),'Tank Tables'!$G$5:$H$130,2,FALSE())+(E10-INT(E10))*(VLOOKUP(INT(E10)+1,'Tank Tables'!$G$5:$H$130,2,FALSE())-VLOOKUP(INT(E10),'Tank Tables'!$G$5:$H$130,2,FALSE())),0),IFERROR(ROUND(VLOOKUP(INT(E10),'Tank Tables'!$G$5:$H$130,2,FALSE()),0),"?")))</f>
        <v/>
      </c>
      <c r="N10" s="52" t="str">
        <f aca="false">IF(F10="","",IFERROR(ROUND(VLOOKUP(INT(F10),'Tank Tables'!$A$5:$B$121,2,FALSE())+(F10-INT(F10))*(VLOOKUP(INT(F10)+1,'Tank Tables'!$A$5:$B$121,2,FALSE())-VLOOKUP(INT(F10),'Tank Tables'!$A$5:$B$121,2,FALSE())),0),IFERROR(ROUND(VLOOKUP(INT(F10),'Tank Tables'!$A$5:$B$121,2,FALSE()),0),"?")))</f>
        <v/>
      </c>
      <c r="O10" s="52" t="str">
        <f aca="false">IF(G10="","",IFERROR(ROUND(VLOOKUP(INT(G10),'Tank Tables'!$C$5:$D$130,2,FALSE())+(G10-INT(G10))*(VLOOKUP(INT(G10)+1,'Tank Tables'!$C$5:$D$130,2,FALSE())-VLOOKUP(INT(G10),'Tank Tables'!$C$5:$D$130,2,FALSE())),0),IFERROR(ROUND(VLOOKUP(INT(G10),'Tank Tables'!$C$5:$D$130,2,FALSE()),0),"?")))</f>
        <v/>
      </c>
      <c r="P10" s="52" t="str">
        <f aca="false">IF(H10="","",IFERROR(ROUND(VLOOKUP(INT(H10),'Tank Tables'!$E$5:$F$130,2,FALSE())+(H10-INT(H10))*(VLOOKUP(INT(H10)+1,'Tank Tables'!$E$5:$F$130,2,FALSE())-VLOOKUP(INT(H10),'Tank Tables'!$E$5:$F$130,2,FALSE())),0),IFERROR(ROUND(VLOOKUP(INT(H10),'Tank Tables'!$E$5:$F$130,2,FALSE()),0),"?")))</f>
        <v/>
      </c>
      <c r="Q10" s="52" t="str">
        <f aca="false">IF(I10="","",IFERROR(ROUND(VLOOKUP(INT(I10),'Tank Tables'!$G$5:$H$130,2,FALSE())+(I10-INT(I10))*(VLOOKUP(INT(I10)+1,'Tank Tables'!$G$5:$H$130,2,FALSE())-VLOOKUP(INT(I10),'Tank Tables'!$G$5:$H$130,2,FALSE())),0),IFERROR(ROUND(VLOOKUP(INT(I10),'Tank Tables'!$G$5:$H$130,2,FALSE()),0),"?")))</f>
        <v/>
      </c>
      <c r="R10" s="47" t="str">
        <f aca="false">IF(COUNT(J10:M10)=0,"",SUM(J10:M10))</f>
        <v/>
      </c>
      <c r="S10" s="47" t="str">
        <f aca="false">IF(COUNT(N10:Q10)=0,"",SUM(N10:Q10))</f>
        <v/>
      </c>
      <c r="T10" s="53" t="str">
        <f aca="false">IF(COUNT(R10:S10)=0,"",SUM(R10:S10))</f>
        <v/>
      </c>
      <c r="U10" s="54"/>
      <c r="V10" s="47" t="str">
        <f aca="false">IF(T10="","",IF(T9="","",T9+U10-T10))</f>
        <v/>
      </c>
      <c r="W10" s="52" t="str">
        <f aca="false">IF(T10="","",Settings!$C$7-T10)</f>
        <v/>
      </c>
      <c r="X10" s="52" t="str">
        <f aca="false">IF(T10="","",MAX(0,INT(W10/Settings!$C$8)))</f>
        <v/>
      </c>
      <c r="Y10" s="55" t="str">
        <f aca="false">IF(T10="","",IF(X10&gt;=2,"ROOM FOR "&amp;X10&amp;" TRUCKS",IF(X10=1,"ROOM FOR 1 TRUCK","")))</f>
        <v/>
      </c>
      <c r="Z10" s="54"/>
      <c r="AA10" s="54"/>
      <c r="AB10" s="54"/>
      <c r="AC10" s="47" t="str">
        <f aca="false">IF(COUNT(Z10:AA10)=0,"",SUM(Z10:AA10))</f>
        <v/>
      </c>
      <c r="AD10" s="47" t="str">
        <f aca="false">IF(AC10="","",IF(AC9="","",AC9+AB10-AC10))</f>
        <v/>
      </c>
      <c r="AE10" s="54"/>
      <c r="AF10" s="54"/>
      <c r="AG10" s="47" t="str">
        <f aca="false">IF(AE10="","",IF(AE9="","",AE9+AF10-AE10))</f>
        <v/>
      </c>
      <c r="AH10" s="59"/>
    </row>
    <row r="11" customFormat="false" ht="19.5" hidden="false" customHeight="true" outlineLevel="0" collapsed="false">
      <c r="A11" s="44"/>
      <c r="B11" s="51"/>
      <c r="C11" s="51"/>
      <c r="D11" s="51"/>
      <c r="E11" s="51"/>
      <c r="F11" s="51"/>
      <c r="G11" s="51"/>
      <c r="H11" s="51"/>
      <c r="I11" s="51"/>
      <c r="J11" s="46" t="str">
        <f aca="false">IF(B11="","",IFERROR(ROUND(VLOOKUP(INT(B11),'Tank Tables'!$A$5:$B$121,2,FALSE())+(B11-INT(B11))*(VLOOKUP(INT(B11)+1,'Tank Tables'!$A$5:$B$121,2,FALSE())-VLOOKUP(INT(B11),'Tank Tables'!$A$5:$B$121,2,FALSE())),0),IFERROR(ROUND(VLOOKUP(INT(B11),'Tank Tables'!$A$5:$B$121,2,FALSE()),0),"?")))</f>
        <v/>
      </c>
      <c r="K11" s="46" t="str">
        <f aca="false">IF(C11="","",IFERROR(ROUND(VLOOKUP(INT(C11),'Tank Tables'!$C$5:$D$130,2,FALSE())+(C11-INT(C11))*(VLOOKUP(INT(C11)+1,'Tank Tables'!$C$5:$D$130,2,FALSE())-VLOOKUP(INT(C11),'Tank Tables'!$C$5:$D$130,2,FALSE())),0),IFERROR(ROUND(VLOOKUP(INT(C11),'Tank Tables'!$C$5:$D$130,2,FALSE()),0),"?")))</f>
        <v/>
      </c>
      <c r="L11" s="46" t="str">
        <f aca="false">IF(D11="","",IFERROR(ROUND(VLOOKUP(INT(D11),'Tank Tables'!$E$5:$F$130,2,FALSE())+(D11-INT(D11))*(VLOOKUP(INT(D11)+1,'Tank Tables'!$E$5:$F$130,2,FALSE())-VLOOKUP(INT(D11),'Tank Tables'!$E$5:$F$130,2,FALSE())),0),IFERROR(ROUND(VLOOKUP(INT(D11),'Tank Tables'!$E$5:$F$130,2,FALSE()),0),"?")))</f>
        <v/>
      </c>
      <c r="M11" s="46" t="str">
        <f aca="false">IF(E11="","",IFERROR(ROUND(VLOOKUP(INT(E11),'Tank Tables'!$G$5:$H$130,2,FALSE())+(E11-INT(E11))*(VLOOKUP(INT(E11)+1,'Tank Tables'!$G$5:$H$130,2,FALSE())-VLOOKUP(INT(E11),'Tank Tables'!$G$5:$H$130,2,FALSE())),0),IFERROR(ROUND(VLOOKUP(INT(E11),'Tank Tables'!$G$5:$H$130,2,FALSE()),0),"?")))</f>
        <v/>
      </c>
      <c r="N11" s="46" t="str">
        <f aca="false">IF(F11="","",IFERROR(ROUND(VLOOKUP(INT(F11),'Tank Tables'!$A$5:$B$121,2,FALSE())+(F11-INT(F11))*(VLOOKUP(INT(F11)+1,'Tank Tables'!$A$5:$B$121,2,FALSE())-VLOOKUP(INT(F11),'Tank Tables'!$A$5:$B$121,2,FALSE())),0),IFERROR(ROUND(VLOOKUP(INT(F11),'Tank Tables'!$A$5:$B$121,2,FALSE()),0),"?")))</f>
        <v/>
      </c>
      <c r="O11" s="46" t="str">
        <f aca="false">IF(G11="","",IFERROR(ROUND(VLOOKUP(INT(G11),'Tank Tables'!$C$5:$D$130,2,FALSE())+(G11-INT(G11))*(VLOOKUP(INT(G11)+1,'Tank Tables'!$C$5:$D$130,2,FALSE())-VLOOKUP(INT(G11),'Tank Tables'!$C$5:$D$130,2,FALSE())),0),IFERROR(ROUND(VLOOKUP(INT(G11),'Tank Tables'!$C$5:$D$130,2,FALSE()),0),"?")))</f>
        <v/>
      </c>
      <c r="P11" s="46" t="str">
        <f aca="false">IF(H11="","",IFERROR(ROUND(VLOOKUP(INT(H11),'Tank Tables'!$E$5:$F$130,2,FALSE())+(H11-INT(H11))*(VLOOKUP(INT(H11)+1,'Tank Tables'!$E$5:$F$130,2,FALSE())-VLOOKUP(INT(H11),'Tank Tables'!$E$5:$F$130,2,FALSE())),0),IFERROR(ROUND(VLOOKUP(INT(H11),'Tank Tables'!$E$5:$F$130,2,FALSE()),0),"?")))</f>
        <v/>
      </c>
      <c r="Q11" s="46" t="str">
        <f aca="false">IF(I11="","",IFERROR(ROUND(VLOOKUP(INT(I11),'Tank Tables'!$G$5:$H$130,2,FALSE())+(I11-INT(I11))*(VLOOKUP(INT(I11)+1,'Tank Tables'!$G$5:$H$130,2,FALSE())-VLOOKUP(INT(I11),'Tank Tables'!$G$5:$H$130,2,FALSE())),0),IFERROR(ROUND(VLOOKUP(INT(I11),'Tank Tables'!$G$5:$H$130,2,FALSE()),0),"?")))</f>
        <v/>
      </c>
      <c r="R11" s="47" t="str">
        <f aca="false">IF(COUNT(J11:M11)=0,"",SUM(J11:M11))</f>
        <v/>
      </c>
      <c r="S11" s="47" t="str">
        <f aca="false">IF(COUNT(N11:Q11)=0,"",SUM(N11:Q11))</f>
        <v/>
      </c>
      <c r="T11" s="53" t="str">
        <f aca="false">IF(COUNT(R11:S11)=0,"",SUM(R11:S11))</f>
        <v/>
      </c>
      <c r="U11" s="54"/>
      <c r="V11" s="47" t="str">
        <f aca="false">IF(T11="","",IF(T10="","",T10+U11-T11))</f>
        <v/>
      </c>
      <c r="W11" s="46" t="str">
        <f aca="false">IF(T11="","",Settings!$C$7-T11)</f>
        <v/>
      </c>
      <c r="X11" s="46" t="str">
        <f aca="false">IF(T11="","",MAX(0,INT(W11/Settings!$C$8)))</f>
        <v/>
      </c>
      <c r="Y11" s="57" t="str">
        <f aca="false">IF(T11="","",IF(X11&gt;=2,"ROOM FOR "&amp;X11&amp;" TRUCKS",IF(X11=1,"ROOM FOR 1 TRUCK","")))</f>
        <v/>
      </c>
      <c r="Z11" s="54"/>
      <c r="AA11" s="54"/>
      <c r="AB11" s="54"/>
      <c r="AC11" s="47" t="str">
        <f aca="false">IF(COUNT(Z11:AA11)=0,"",SUM(Z11:AA11))</f>
        <v/>
      </c>
      <c r="AD11" s="47" t="str">
        <f aca="false">IF(AC11="","",IF(AC10="","",AC10+AB11-AC11))</f>
        <v/>
      </c>
      <c r="AE11" s="54"/>
      <c r="AF11" s="54"/>
      <c r="AG11" s="47" t="str">
        <f aca="false">IF(AE11="","",IF(AE10="","",AE10+AF11-AE11))</f>
        <v/>
      </c>
      <c r="AH11" s="58"/>
    </row>
    <row r="12" customFormat="false" ht="19.5" hidden="false" customHeight="true" outlineLevel="0" collapsed="false">
      <c r="A12" s="44"/>
      <c r="B12" s="51"/>
      <c r="C12" s="51"/>
      <c r="D12" s="51"/>
      <c r="E12" s="51"/>
      <c r="F12" s="51"/>
      <c r="G12" s="51"/>
      <c r="H12" s="51"/>
      <c r="I12" s="51"/>
      <c r="J12" s="52" t="str">
        <f aca="false">IF(B12="","",IFERROR(ROUND(VLOOKUP(INT(B12),'Tank Tables'!$A$5:$B$121,2,FALSE())+(B12-INT(B12))*(VLOOKUP(INT(B12)+1,'Tank Tables'!$A$5:$B$121,2,FALSE())-VLOOKUP(INT(B12),'Tank Tables'!$A$5:$B$121,2,FALSE())),0),IFERROR(ROUND(VLOOKUP(INT(B12),'Tank Tables'!$A$5:$B$121,2,FALSE()),0),"?")))</f>
        <v/>
      </c>
      <c r="K12" s="52" t="str">
        <f aca="false">IF(C12="","",IFERROR(ROUND(VLOOKUP(INT(C12),'Tank Tables'!$C$5:$D$130,2,FALSE())+(C12-INT(C12))*(VLOOKUP(INT(C12)+1,'Tank Tables'!$C$5:$D$130,2,FALSE())-VLOOKUP(INT(C12),'Tank Tables'!$C$5:$D$130,2,FALSE())),0),IFERROR(ROUND(VLOOKUP(INT(C12),'Tank Tables'!$C$5:$D$130,2,FALSE()),0),"?")))</f>
        <v/>
      </c>
      <c r="L12" s="52" t="str">
        <f aca="false">IF(D12="","",IFERROR(ROUND(VLOOKUP(INT(D12),'Tank Tables'!$E$5:$F$130,2,FALSE())+(D12-INT(D12))*(VLOOKUP(INT(D12)+1,'Tank Tables'!$E$5:$F$130,2,FALSE())-VLOOKUP(INT(D12),'Tank Tables'!$E$5:$F$130,2,FALSE())),0),IFERROR(ROUND(VLOOKUP(INT(D12),'Tank Tables'!$E$5:$F$130,2,FALSE()),0),"?")))</f>
        <v/>
      </c>
      <c r="M12" s="52" t="str">
        <f aca="false">IF(E12="","",IFERROR(ROUND(VLOOKUP(INT(E12),'Tank Tables'!$G$5:$H$130,2,FALSE())+(E12-INT(E12))*(VLOOKUP(INT(E12)+1,'Tank Tables'!$G$5:$H$130,2,FALSE())-VLOOKUP(INT(E12),'Tank Tables'!$G$5:$H$130,2,FALSE())),0),IFERROR(ROUND(VLOOKUP(INT(E12),'Tank Tables'!$G$5:$H$130,2,FALSE()),0),"?")))</f>
        <v/>
      </c>
      <c r="N12" s="52" t="str">
        <f aca="false">IF(F12="","",IFERROR(ROUND(VLOOKUP(INT(F12),'Tank Tables'!$A$5:$B$121,2,FALSE())+(F12-INT(F12))*(VLOOKUP(INT(F12)+1,'Tank Tables'!$A$5:$B$121,2,FALSE())-VLOOKUP(INT(F12),'Tank Tables'!$A$5:$B$121,2,FALSE())),0),IFERROR(ROUND(VLOOKUP(INT(F12),'Tank Tables'!$A$5:$B$121,2,FALSE()),0),"?")))</f>
        <v/>
      </c>
      <c r="O12" s="52" t="str">
        <f aca="false">IF(G12="","",IFERROR(ROUND(VLOOKUP(INT(G12),'Tank Tables'!$C$5:$D$130,2,FALSE())+(G12-INT(G12))*(VLOOKUP(INT(G12)+1,'Tank Tables'!$C$5:$D$130,2,FALSE())-VLOOKUP(INT(G12),'Tank Tables'!$C$5:$D$130,2,FALSE())),0),IFERROR(ROUND(VLOOKUP(INT(G12),'Tank Tables'!$C$5:$D$130,2,FALSE()),0),"?")))</f>
        <v/>
      </c>
      <c r="P12" s="52" t="str">
        <f aca="false">IF(H12="","",IFERROR(ROUND(VLOOKUP(INT(H12),'Tank Tables'!$E$5:$F$130,2,FALSE())+(H12-INT(H12))*(VLOOKUP(INT(H12)+1,'Tank Tables'!$E$5:$F$130,2,FALSE())-VLOOKUP(INT(H12),'Tank Tables'!$E$5:$F$130,2,FALSE())),0),IFERROR(ROUND(VLOOKUP(INT(H12),'Tank Tables'!$E$5:$F$130,2,FALSE()),0),"?")))</f>
        <v/>
      </c>
      <c r="Q12" s="52" t="str">
        <f aca="false">IF(I12="","",IFERROR(ROUND(VLOOKUP(INT(I12),'Tank Tables'!$G$5:$H$130,2,FALSE())+(I12-INT(I12))*(VLOOKUP(INT(I12)+1,'Tank Tables'!$G$5:$H$130,2,FALSE())-VLOOKUP(INT(I12),'Tank Tables'!$G$5:$H$130,2,FALSE())),0),IFERROR(ROUND(VLOOKUP(INT(I12),'Tank Tables'!$G$5:$H$130,2,FALSE()),0),"?")))</f>
        <v/>
      </c>
      <c r="R12" s="47" t="str">
        <f aca="false">IF(COUNT(J12:M12)=0,"",SUM(J12:M12))</f>
        <v/>
      </c>
      <c r="S12" s="47" t="str">
        <f aca="false">IF(COUNT(N12:Q12)=0,"",SUM(N12:Q12))</f>
        <v/>
      </c>
      <c r="T12" s="53" t="str">
        <f aca="false">IF(COUNT(R12:S12)=0,"",SUM(R12:S12))</f>
        <v/>
      </c>
      <c r="U12" s="54"/>
      <c r="V12" s="47" t="str">
        <f aca="false">IF(T12="","",IF(T11="","",T11+U12-T12))</f>
        <v/>
      </c>
      <c r="W12" s="52" t="str">
        <f aca="false">IF(T12="","",Settings!$C$7-T12)</f>
        <v/>
      </c>
      <c r="X12" s="52" t="str">
        <f aca="false">IF(T12="","",MAX(0,INT(W12/Settings!$C$8)))</f>
        <v/>
      </c>
      <c r="Y12" s="55" t="str">
        <f aca="false">IF(T12="","",IF(X12&gt;=2,"ROOM FOR "&amp;X12&amp;" TRUCKS",IF(X12=1,"ROOM FOR 1 TRUCK","")))</f>
        <v/>
      </c>
      <c r="Z12" s="54"/>
      <c r="AA12" s="54"/>
      <c r="AB12" s="54"/>
      <c r="AC12" s="47" t="str">
        <f aca="false">IF(COUNT(Z12:AA12)=0,"",SUM(Z12:AA12))</f>
        <v/>
      </c>
      <c r="AD12" s="47" t="str">
        <f aca="false">IF(AC12="","",IF(AC11="","",AC11+AB12-AC12))</f>
        <v/>
      </c>
      <c r="AE12" s="54"/>
      <c r="AF12" s="54"/>
      <c r="AG12" s="47" t="str">
        <f aca="false">IF(AE12="","",IF(AE11="","",AE11+AF12-AE12))</f>
        <v/>
      </c>
      <c r="AH12" s="59"/>
    </row>
    <row r="13" customFormat="false" ht="19.5" hidden="false" customHeight="true" outlineLevel="0" collapsed="false">
      <c r="A13" s="44"/>
      <c r="B13" s="51"/>
      <c r="C13" s="51"/>
      <c r="D13" s="51"/>
      <c r="E13" s="51"/>
      <c r="F13" s="51"/>
      <c r="G13" s="51"/>
      <c r="H13" s="51"/>
      <c r="I13" s="51"/>
      <c r="J13" s="46" t="str">
        <f aca="false">IF(B13="","",IFERROR(ROUND(VLOOKUP(INT(B13),'Tank Tables'!$A$5:$B$121,2,FALSE())+(B13-INT(B13))*(VLOOKUP(INT(B13)+1,'Tank Tables'!$A$5:$B$121,2,FALSE())-VLOOKUP(INT(B13),'Tank Tables'!$A$5:$B$121,2,FALSE())),0),IFERROR(ROUND(VLOOKUP(INT(B13),'Tank Tables'!$A$5:$B$121,2,FALSE()),0),"?")))</f>
        <v/>
      </c>
      <c r="K13" s="46" t="str">
        <f aca="false">IF(C13="","",IFERROR(ROUND(VLOOKUP(INT(C13),'Tank Tables'!$C$5:$D$130,2,FALSE())+(C13-INT(C13))*(VLOOKUP(INT(C13)+1,'Tank Tables'!$C$5:$D$130,2,FALSE())-VLOOKUP(INT(C13),'Tank Tables'!$C$5:$D$130,2,FALSE())),0),IFERROR(ROUND(VLOOKUP(INT(C13),'Tank Tables'!$C$5:$D$130,2,FALSE()),0),"?")))</f>
        <v/>
      </c>
      <c r="L13" s="46" t="str">
        <f aca="false">IF(D13="","",IFERROR(ROUND(VLOOKUP(INT(D13),'Tank Tables'!$E$5:$F$130,2,FALSE())+(D13-INT(D13))*(VLOOKUP(INT(D13)+1,'Tank Tables'!$E$5:$F$130,2,FALSE())-VLOOKUP(INT(D13),'Tank Tables'!$E$5:$F$130,2,FALSE())),0),IFERROR(ROUND(VLOOKUP(INT(D13),'Tank Tables'!$E$5:$F$130,2,FALSE()),0),"?")))</f>
        <v/>
      </c>
      <c r="M13" s="46" t="str">
        <f aca="false">IF(E13="","",IFERROR(ROUND(VLOOKUP(INT(E13),'Tank Tables'!$G$5:$H$130,2,FALSE())+(E13-INT(E13))*(VLOOKUP(INT(E13)+1,'Tank Tables'!$G$5:$H$130,2,FALSE())-VLOOKUP(INT(E13),'Tank Tables'!$G$5:$H$130,2,FALSE())),0),IFERROR(ROUND(VLOOKUP(INT(E13),'Tank Tables'!$G$5:$H$130,2,FALSE()),0),"?")))</f>
        <v/>
      </c>
      <c r="N13" s="46" t="str">
        <f aca="false">IF(F13="","",IFERROR(ROUND(VLOOKUP(INT(F13),'Tank Tables'!$A$5:$B$121,2,FALSE())+(F13-INT(F13))*(VLOOKUP(INT(F13)+1,'Tank Tables'!$A$5:$B$121,2,FALSE())-VLOOKUP(INT(F13),'Tank Tables'!$A$5:$B$121,2,FALSE())),0),IFERROR(ROUND(VLOOKUP(INT(F13),'Tank Tables'!$A$5:$B$121,2,FALSE()),0),"?")))</f>
        <v/>
      </c>
      <c r="O13" s="46" t="str">
        <f aca="false">IF(G13="","",IFERROR(ROUND(VLOOKUP(INT(G13),'Tank Tables'!$C$5:$D$130,2,FALSE())+(G13-INT(G13))*(VLOOKUP(INT(G13)+1,'Tank Tables'!$C$5:$D$130,2,FALSE())-VLOOKUP(INT(G13),'Tank Tables'!$C$5:$D$130,2,FALSE())),0),IFERROR(ROUND(VLOOKUP(INT(G13),'Tank Tables'!$C$5:$D$130,2,FALSE()),0),"?")))</f>
        <v/>
      </c>
      <c r="P13" s="46" t="str">
        <f aca="false">IF(H13="","",IFERROR(ROUND(VLOOKUP(INT(H13),'Tank Tables'!$E$5:$F$130,2,FALSE())+(H13-INT(H13))*(VLOOKUP(INT(H13)+1,'Tank Tables'!$E$5:$F$130,2,FALSE())-VLOOKUP(INT(H13),'Tank Tables'!$E$5:$F$130,2,FALSE())),0),IFERROR(ROUND(VLOOKUP(INT(H13),'Tank Tables'!$E$5:$F$130,2,FALSE()),0),"?")))</f>
        <v/>
      </c>
      <c r="Q13" s="46" t="str">
        <f aca="false">IF(I13="","",IFERROR(ROUND(VLOOKUP(INT(I13),'Tank Tables'!$G$5:$H$130,2,FALSE())+(I13-INT(I13))*(VLOOKUP(INT(I13)+1,'Tank Tables'!$G$5:$H$130,2,FALSE())-VLOOKUP(INT(I13),'Tank Tables'!$G$5:$H$130,2,FALSE())),0),IFERROR(ROUND(VLOOKUP(INT(I13),'Tank Tables'!$G$5:$H$130,2,FALSE()),0),"?")))</f>
        <v/>
      </c>
      <c r="R13" s="47" t="str">
        <f aca="false">IF(COUNT(J13:M13)=0,"",SUM(J13:M13))</f>
        <v/>
      </c>
      <c r="S13" s="47" t="str">
        <f aca="false">IF(COUNT(N13:Q13)=0,"",SUM(N13:Q13))</f>
        <v/>
      </c>
      <c r="T13" s="53" t="str">
        <f aca="false">IF(COUNT(R13:S13)=0,"",SUM(R13:S13))</f>
        <v/>
      </c>
      <c r="U13" s="54"/>
      <c r="V13" s="47" t="str">
        <f aca="false">IF(T13="","",IF(T12="","",T12+U13-T13))</f>
        <v/>
      </c>
      <c r="W13" s="46" t="str">
        <f aca="false">IF(T13="","",Settings!$C$7-T13)</f>
        <v/>
      </c>
      <c r="X13" s="46" t="str">
        <f aca="false">IF(T13="","",MAX(0,INT(W13/Settings!$C$8)))</f>
        <v/>
      </c>
      <c r="Y13" s="57" t="str">
        <f aca="false">IF(T13="","",IF(X13&gt;=2,"ROOM FOR "&amp;X13&amp;" TRUCKS",IF(X13=1,"ROOM FOR 1 TRUCK","")))</f>
        <v/>
      </c>
      <c r="Z13" s="54"/>
      <c r="AA13" s="54"/>
      <c r="AB13" s="54"/>
      <c r="AC13" s="47" t="str">
        <f aca="false">IF(COUNT(Z13:AA13)=0,"",SUM(Z13:AA13))</f>
        <v/>
      </c>
      <c r="AD13" s="47" t="str">
        <f aca="false">IF(AC13="","",IF(AC12="","",AC12+AB13-AC13))</f>
        <v/>
      </c>
      <c r="AE13" s="54"/>
      <c r="AF13" s="54"/>
      <c r="AG13" s="47" t="str">
        <f aca="false">IF(AE13="","",IF(AE12="","",AE12+AF13-AE13))</f>
        <v/>
      </c>
      <c r="AH13" s="58"/>
    </row>
    <row r="14" customFormat="false" ht="19.5" hidden="false" customHeight="true" outlineLevel="0" collapsed="false">
      <c r="A14" s="44"/>
      <c r="B14" s="51"/>
      <c r="C14" s="51"/>
      <c r="D14" s="51"/>
      <c r="E14" s="51"/>
      <c r="F14" s="51"/>
      <c r="G14" s="51"/>
      <c r="H14" s="51"/>
      <c r="I14" s="51"/>
      <c r="J14" s="52" t="str">
        <f aca="false">IF(B14="","",IFERROR(ROUND(VLOOKUP(INT(B14),'Tank Tables'!$A$5:$B$121,2,FALSE())+(B14-INT(B14))*(VLOOKUP(INT(B14)+1,'Tank Tables'!$A$5:$B$121,2,FALSE())-VLOOKUP(INT(B14),'Tank Tables'!$A$5:$B$121,2,FALSE())),0),IFERROR(ROUND(VLOOKUP(INT(B14),'Tank Tables'!$A$5:$B$121,2,FALSE()),0),"?")))</f>
        <v/>
      </c>
      <c r="K14" s="52" t="str">
        <f aca="false">IF(C14="","",IFERROR(ROUND(VLOOKUP(INT(C14),'Tank Tables'!$C$5:$D$130,2,FALSE())+(C14-INT(C14))*(VLOOKUP(INT(C14)+1,'Tank Tables'!$C$5:$D$130,2,FALSE())-VLOOKUP(INT(C14),'Tank Tables'!$C$5:$D$130,2,FALSE())),0),IFERROR(ROUND(VLOOKUP(INT(C14),'Tank Tables'!$C$5:$D$130,2,FALSE()),0),"?")))</f>
        <v/>
      </c>
      <c r="L14" s="52" t="str">
        <f aca="false">IF(D14="","",IFERROR(ROUND(VLOOKUP(INT(D14),'Tank Tables'!$E$5:$F$130,2,FALSE())+(D14-INT(D14))*(VLOOKUP(INT(D14)+1,'Tank Tables'!$E$5:$F$130,2,FALSE())-VLOOKUP(INT(D14),'Tank Tables'!$E$5:$F$130,2,FALSE())),0),IFERROR(ROUND(VLOOKUP(INT(D14),'Tank Tables'!$E$5:$F$130,2,FALSE()),0),"?")))</f>
        <v/>
      </c>
      <c r="M14" s="52" t="str">
        <f aca="false">IF(E14="","",IFERROR(ROUND(VLOOKUP(INT(E14),'Tank Tables'!$G$5:$H$130,2,FALSE())+(E14-INT(E14))*(VLOOKUP(INT(E14)+1,'Tank Tables'!$G$5:$H$130,2,FALSE())-VLOOKUP(INT(E14),'Tank Tables'!$G$5:$H$130,2,FALSE())),0),IFERROR(ROUND(VLOOKUP(INT(E14),'Tank Tables'!$G$5:$H$130,2,FALSE()),0),"?")))</f>
        <v/>
      </c>
      <c r="N14" s="52" t="str">
        <f aca="false">IF(F14="","",IFERROR(ROUND(VLOOKUP(INT(F14),'Tank Tables'!$A$5:$B$121,2,FALSE())+(F14-INT(F14))*(VLOOKUP(INT(F14)+1,'Tank Tables'!$A$5:$B$121,2,FALSE())-VLOOKUP(INT(F14),'Tank Tables'!$A$5:$B$121,2,FALSE())),0),IFERROR(ROUND(VLOOKUP(INT(F14),'Tank Tables'!$A$5:$B$121,2,FALSE()),0),"?")))</f>
        <v/>
      </c>
      <c r="O14" s="52" t="str">
        <f aca="false">IF(G14="","",IFERROR(ROUND(VLOOKUP(INT(G14),'Tank Tables'!$C$5:$D$130,2,FALSE())+(G14-INT(G14))*(VLOOKUP(INT(G14)+1,'Tank Tables'!$C$5:$D$130,2,FALSE())-VLOOKUP(INT(G14),'Tank Tables'!$C$5:$D$130,2,FALSE())),0),IFERROR(ROUND(VLOOKUP(INT(G14),'Tank Tables'!$C$5:$D$130,2,FALSE()),0),"?")))</f>
        <v/>
      </c>
      <c r="P14" s="52" t="str">
        <f aca="false">IF(H14="","",IFERROR(ROUND(VLOOKUP(INT(H14),'Tank Tables'!$E$5:$F$130,2,FALSE())+(H14-INT(H14))*(VLOOKUP(INT(H14)+1,'Tank Tables'!$E$5:$F$130,2,FALSE())-VLOOKUP(INT(H14),'Tank Tables'!$E$5:$F$130,2,FALSE())),0),IFERROR(ROUND(VLOOKUP(INT(H14),'Tank Tables'!$E$5:$F$130,2,FALSE()),0),"?")))</f>
        <v/>
      </c>
      <c r="Q14" s="52" t="str">
        <f aca="false">IF(I14="","",IFERROR(ROUND(VLOOKUP(INT(I14),'Tank Tables'!$G$5:$H$130,2,FALSE())+(I14-INT(I14))*(VLOOKUP(INT(I14)+1,'Tank Tables'!$G$5:$H$130,2,FALSE())-VLOOKUP(INT(I14),'Tank Tables'!$G$5:$H$130,2,FALSE())),0),IFERROR(ROUND(VLOOKUP(INT(I14),'Tank Tables'!$G$5:$H$130,2,FALSE()),0),"?")))</f>
        <v/>
      </c>
      <c r="R14" s="47" t="str">
        <f aca="false">IF(COUNT(J14:M14)=0,"",SUM(J14:M14))</f>
        <v/>
      </c>
      <c r="S14" s="47" t="str">
        <f aca="false">IF(COUNT(N14:Q14)=0,"",SUM(N14:Q14))</f>
        <v/>
      </c>
      <c r="T14" s="53" t="str">
        <f aca="false">IF(COUNT(R14:S14)=0,"",SUM(R14:S14))</f>
        <v/>
      </c>
      <c r="U14" s="54"/>
      <c r="V14" s="47" t="str">
        <f aca="false">IF(T14="","",IF(T13="","",T13+U14-T14))</f>
        <v/>
      </c>
      <c r="W14" s="52" t="str">
        <f aca="false">IF(T14="","",Settings!$C$7-T14)</f>
        <v/>
      </c>
      <c r="X14" s="52" t="str">
        <f aca="false">IF(T14="","",MAX(0,INT(W14/Settings!$C$8)))</f>
        <v/>
      </c>
      <c r="Y14" s="55" t="str">
        <f aca="false">IF(T14="","",IF(X14&gt;=2,"ROOM FOR "&amp;X14&amp;" TRUCKS",IF(X14=1,"ROOM FOR 1 TRUCK","")))</f>
        <v/>
      </c>
      <c r="Z14" s="54"/>
      <c r="AA14" s="54"/>
      <c r="AB14" s="54"/>
      <c r="AC14" s="47" t="str">
        <f aca="false">IF(COUNT(Z14:AA14)=0,"",SUM(Z14:AA14))</f>
        <v/>
      </c>
      <c r="AD14" s="47" t="str">
        <f aca="false">IF(AC14="","",IF(AC13="","",AC13+AB14-AC14))</f>
        <v/>
      </c>
      <c r="AE14" s="54"/>
      <c r="AF14" s="54"/>
      <c r="AG14" s="47" t="str">
        <f aca="false">IF(AE14="","",IF(AE13="","",AE13+AF14-AE14))</f>
        <v/>
      </c>
      <c r="AH14" s="59"/>
    </row>
    <row r="15" customFormat="false" ht="19.5" hidden="false" customHeight="true" outlineLevel="0" collapsed="false">
      <c r="A15" s="44"/>
      <c r="B15" s="51"/>
      <c r="C15" s="51"/>
      <c r="D15" s="51"/>
      <c r="E15" s="51"/>
      <c r="F15" s="51"/>
      <c r="G15" s="51"/>
      <c r="H15" s="51"/>
      <c r="I15" s="51"/>
      <c r="J15" s="46" t="str">
        <f aca="false">IF(B15="","",IFERROR(ROUND(VLOOKUP(INT(B15),'Tank Tables'!$A$5:$B$121,2,FALSE())+(B15-INT(B15))*(VLOOKUP(INT(B15)+1,'Tank Tables'!$A$5:$B$121,2,FALSE())-VLOOKUP(INT(B15),'Tank Tables'!$A$5:$B$121,2,FALSE())),0),IFERROR(ROUND(VLOOKUP(INT(B15),'Tank Tables'!$A$5:$B$121,2,FALSE()),0),"?")))</f>
        <v/>
      </c>
      <c r="K15" s="46" t="str">
        <f aca="false">IF(C15="","",IFERROR(ROUND(VLOOKUP(INT(C15),'Tank Tables'!$C$5:$D$130,2,FALSE())+(C15-INT(C15))*(VLOOKUP(INT(C15)+1,'Tank Tables'!$C$5:$D$130,2,FALSE())-VLOOKUP(INT(C15),'Tank Tables'!$C$5:$D$130,2,FALSE())),0),IFERROR(ROUND(VLOOKUP(INT(C15),'Tank Tables'!$C$5:$D$130,2,FALSE()),0),"?")))</f>
        <v/>
      </c>
      <c r="L15" s="46" t="str">
        <f aca="false">IF(D15="","",IFERROR(ROUND(VLOOKUP(INT(D15),'Tank Tables'!$E$5:$F$130,2,FALSE())+(D15-INT(D15))*(VLOOKUP(INT(D15)+1,'Tank Tables'!$E$5:$F$130,2,FALSE())-VLOOKUP(INT(D15),'Tank Tables'!$E$5:$F$130,2,FALSE())),0),IFERROR(ROUND(VLOOKUP(INT(D15),'Tank Tables'!$E$5:$F$130,2,FALSE()),0),"?")))</f>
        <v/>
      </c>
      <c r="M15" s="46" t="str">
        <f aca="false">IF(E15="","",IFERROR(ROUND(VLOOKUP(INT(E15),'Tank Tables'!$G$5:$H$130,2,FALSE())+(E15-INT(E15))*(VLOOKUP(INT(E15)+1,'Tank Tables'!$G$5:$H$130,2,FALSE())-VLOOKUP(INT(E15),'Tank Tables'!$G$5:$H$130,2,FALSE())),0),IFERROR(ROUND(VLOOKUP(INT(E15),'Tank Tables'!$G$5:$H$130,2,FALSE()),0),"?")))</f>
        <v/>
      </c>
      <c r="N15" s="46" t="str">
        <f aca="false">IF(F15="","",IFERROR(ROUND(VLOOKUP(INT(F15),'Tank Tables'!$A$5:$B$121,2,FALSE())+(F15-INT(F15))*(VLOOKUP(INT(F15)+1,'Tank Tables'!$A$5:$B$121,2,FALSE())-VLOOKUP(INT(F15),'Tank Tables'!$A$5:$B$121,2,FALSE())),0),IFERROR(ROUND(VLOOKUP(INT(F15),'Tank Tables'!$A$5:$B$121,2,FALSE()),0),"?")))</f>
        <v/>
      </c>
      <c r="O15" s="46" t="str">
        <f aca="false">IF(G15="","",IFERROR(ROUND(VLOOKUP(INT(G15),'Tank Tables'!$C$5:$D$130,2,FALSE())+(G15-INT(G15))*(VLOOKUP(INT(G15)+1,'Tank Tables'!$C$5:$D$130,2,FALSE())-VLOOKUP(INT(G15),'Tank Tables'!$C$5:$D$130,2,FALSE())),0),IFERROR(ROUND(VLOOKUP(INT(G15),'Tank Tables'!$C$5:$D$130,2,FALSE()),0),"?")))</f>
        <v/>
      </c>
      <c r="P15" s="46" t="str">
        <f aca="false">IF(H15="","",IFERROR(ROUND(VLOOKUP(INT(H15),'Tank Tables'!$E$5:$F$130,2,FALSE())+(H15-INT(H15))*(VLOOKUP(INT(H15)+1,'Tank Tables'!$E$5:$F$130,2,FALSE())-VLOOKUP(INT(H15),'Tank Tables'!$E$5:$F$130,2,FALSE())),0),IFERROR(ROUND(VLOOKUP(INT(H15),'Tank Tables'!$E$5:$F$130,2,FALSE()),0),"?")))</f>
        <v/>
      </c>
      <c r="Q15" s="46" t="str">
        <f aca="false">IF(I15="","",IFERROR(ROUND(VLOOKUP(INT(I15),'Tank Tables'!$G$5:$H$130,2,FALSE())+(I15-INT(I15))*(VLOOKUP(INT(I15)+1,'Tank Tables'!$G$5:$H$130,2,FALSE())-VLOOKUP(INT(I15),'Tank Tables'!$G$5:$H$130,2,FALSE())),0),IFERROR(ROUND(VLOOKUP(INT(I15),'Tank Tables'!$G$5:$H$130,2,FALSE()),0),"?")))</f>
        <v/>
      </c>
      <c r="R15" s="47" t="str">
        <f aca="false">IF(COUNT(J15:M15)=0,"",SUM(J15:M15))</f>
        <v/>
      </c>
      <c r="S15" s="47" t="str">
        <f aca="false">IF(COUNT(N15:Q15)=0,"",SUM(N15:Q15))</f>
        <v/>
      </c>
      <c r="T15" s="53" t="str">
        <f aca="false">IF(COUNT(R15:S15)=0,"",SUM(R15:S15))</f>
        <v/>
      </c>
      <c r="U15" s="54"/>
      <c r="V15" s="47" t="str">
        <f aca="false">IF(T15="","",IF(T14="","",T14+U15-T15))</f>
        <v/>
      </c>
      <c r="W15" s="46" t="str">
        <f aca="false">IF(T15="","",Settings!$C$7-T15)</f>
        <v/>
      </c>
      <c r="X15" s="46" t="str">
        <f aca="false">IF(T15="","",MAX(0,INT(W15/Settings!$C$8)))</f>
        <v/>
      </c>
      <c r="Y15" s="57" t="str">
        <f aca="false">IF(T15="","",IF(X15&gt;=2,"ROOM FOR "&amp;X15&amp;" TRUCKS",IF(X15=1,"ROOM FOR 1 TRUCK","")))</f>
        <v/>
      </c>
      <c r="Z15" s="54"/>
      <c r="AA15" s="54"/>
      <c r="AB15" s="54"/>
      <c r="AC15" s="47" t="str">
        <f aca="false">IF(COUNT(Z15:AA15)=0,"",SUM(Z15:AA15))</f>
        <v/>
      </c>
      <c r="AD15" s="47" t="str">
        <f aca="false">IF(AC15="","",IF(AC14="","",AC14+AB15-AC15))</f>
        <v/>
      </c>
      <c r="AE15" s="54"/>
      <c r="AF15" s="54"/>
      <c r="AG15" s="47" t="str">
        <f aca="false">IF(AE15="","",IF(AE14="","",AE14+AF15-AE15))</f>
        <v/>
      </c>
      <c r="AH15" s="58"/>
    </row>
    <row r="16" customFormat="false" ht="19.5" hidden="false" customHeight="true" outlineLevel="0" collapsed="false">
      <c r="A16" s="44"/>
      <c r="B16" s="51"/>
      <c r="C16" s="51"/>
      <c r="D16" s="51"/>
      <c r="E16" s="51"/>
      <c r="F16" s="51"/>
      <c r="G16" s="51"/>
      <c r="H16" s="51"/>
      <c r="I16" s="51"/>
      <c r="J16" s="52" t="str">
        <f aca="false">IF(B16="","",IFERROR(ROUND(VLOOKUP(INT(B16),'Tank Tables'!$A$5:$B$121,2,FALSE())+(B16-INT(B16))*(VLOOKUP(INT(B16)+1,'Tank Tables'!$A$5:$B$121,2,FALSE())-VLOOKUP(INT(B16),'Tank Tables'!$A$5:$B$121,2,FALSE())),0),IFERROR(ROUND(VLOOKUP(INT(B16),'Tank Tables'!$A$5:$B$121,2,FALSE()),0),"?")))</f>
        <v/>
      </c>
      <c r="K16" s="52" t="str">
        <f aca="false">IF(C16="","",IFERROR(ROUND(VLOOKUP(INT(C16),'Tank Tables'!$C$5:$D$130,2,FALSE())+(C16-INT(C16))*(VLOOKUP(INT(C16)+1,'Tank Tables'!$C$5:$D$130,2,FALSE())-VLOOKUP(INT(C16),'Tank Tables'!$C$5:$D$130,2,FALSE())),0),IFERROR(ROUND(VLOOKUP(INT(C16),'Tank Tables'!$C$5:$D$130,2,FALSE()),0),"?")))</f>
        <v/>
      </c>
      <c r="L16" s="52" t="str">
        <f aca="false">IF(D16="","",IFERROR(ROUND(VLOOKUP(INT(D16),'Tank Tables'!$E$5:$F$130,2,FALSE())+(D16-INT(D16))*(VLOOKUP(INT(D16)+1,'Tank Tables'!$E$5:$F$130,2,FALSE())-VLOOKUP(INT(D16),'Tank Tables'!$E$5:$F$130,2,FALSE())),0),IFERROR(ROUND(VLOOKUP(INT(D16),'Tank Tables'!$E$5:$F$130,2,FALSE()),0),"?")))</f>
        <v/>
      </c>
      <c r="M16" s="52" t="str">
        <f aca="false">IF(E16="","",IFERROR(ROUND(VLOOKUP(INT(E16),'Tank Tables'!$G$5:$H$130,2,FALSE())+(E16-INT(E16))*(VLOOKUP(INT(E16)+1,'Tank Tables'!$G$5:$H$130,2,FALSE())-VLOOKUP(INT(E16),'Tank Tables'!$G$5:$H$130,2,FALSE())),0),IFERROR(ROUND(VLOOKUP(INT(E16),'Tank Tables'!$G$5:$H$130,2,FALSE()),0),"?")))</f>
        <v/>
      </c>
      <c r="N16" s="52" t="str">
        <f aca="false">IF(F16="","",IFERROR(ROUND(VLOOKUP(INT(F16),'Tank Tables'!$A$5:$B$121,2,FALSE())+(F16-INT(F16))*(VLOOKUP(INT(F16)+1,'Tank Tables'!$A$5:$B$121,2,FALSE())-VLOOKUP(INT(F16),'Tank Tables'!$A$5:$B$121,2,FALSE())),0),IFERROR(ROUND(VLOOKUP(INT(F16),'Tank Tables'!$A$5:$B$121,2,FALSE()),0),"?")))</f>
        <v/>
      </c>
      <c r="O16" s="52" t="str">
        <f aca="false">IF(G16="","",IFERROR(ROUND(VLOOKUP(INT(G16),'Tank Tables'!$C$5:$D$130,2,FALSE())+(G16-INT(G16))*(VLOOKUP(INT(G16)+1,'Tank Tables'!$C$5:$D$130,2,FALSE())-VLOOKUP(INT(G16),'Tank Tables'!$C$5:$D$130,2,FALSE())),0),IFERROR(ROUND(VLOOKUP(INT(G16),'Tank Tables'!$C$5:$D$130,2,FALSE()),0),"?")))</f>
        <v/>
      </c>
      <c r="P16" s="52" t="str">
        <f aca="false">IF(H16="","",IFERROR(ROUND(VLOOKUP(INT(H16),'Tank Tables'!$E$5:$F$130,2,FALSE())+(H16-INT(H16))*(VLOOKUP(INT(H16)+1,'Tank Tables'!$E$5:$F$130,2,FALSE())-VLOOKUP(INT(H16),'Tank Tables'!$E$5:$F$130,2,FALSE())),0),IFERROR(ROUND(VLOOKUP(INT(H16),'Tank Tables'!$E$5:$F$130,2,FALSE()),0),"?")))</f>
        <v/>
      </c>
      <c r="Q16" s="52" t="str">
        <f aca="false">IF(I16="","",IFERROR(ROUND(VLOOKUP(INT(I16),'Tank Tables'!$G$5:$H$130,2,FALSE())+(I16-INT(I16))*(VLOOKUP(INT(I16)+1,'Tank Tables'!$G$5:$H$130,2,FALSE())-VLOOKUP(INT(I16),'Tank Tables'!$G$5:$H$130,2,FALSE())),0),IFERROR(ROUND(VLOOKUP(INT(I16),'Tank Tables'!$G$5:$H$130,2,FALSE()),0),"?")))</f>
        <v/>
      </c>
      <c r="R16" s="47" t="str">
        <f aca="false">IF(COUNT(J16:M16)=0,"",SUM(J16:M16))</f>
        <v/>
      </c>
      <c r="S16" s="47" t="str">
        <f aca="false">IF(COUNT(N16:Q16)=0,"",SUM(N16:Q16))</f>
        <v/>
      </c>
      <c r="T16" s="53" t="str">
        <f aca="false">IF(COUNT(R16:S16)=0,"",SUM(R16:S16))</f>
        <v/>
      </c>
      <c r="U16" s="54"/>
      <c r="V16" s="47" t="str">
        <f aca="false">IF(T16="","",IF(T15="","",T15+U16-T16))</f>
        <v/>
      </c>
      <c r="W16" s="52" t="str">
        <f aca="false">IF(T16="","",Settings!$C$7-T16)</f>
        <v/>
      </c>
      <c r="X16" s="52" t="str">
        <f aca="false">IF(T16="","",MAX(0,INT(W16/Settings!$C$8)))</f>
        <v/>
      </c>
      <c r="Y16" s="55" t="str">
        <f aca="false">IF(T16="","",IF(X16&gt;=2,"ROOM FOR "&amp;X16&amp;" TRUCKS",IF(X16=1,"ROOM FOR 1 TRUCK","")))</f>
        <v/>
      </c>
      <c r="Z16" s="54"/>
      <c r="AA16" s="54"/>
      <c r="AB16" s="54"/>
      <c r="AC16" s="47" t="str">
        <f aca="false">IF(COUNT(Z16:AA16)=0,"",SUM(Z16:AA16))</f>
        <v/>
      </c>
      <c r="AD16" s="47" t="str">
        <f aca="false">IF(AC16="","",IF(AC15="","",AC15+AB16-AC16))</f>
        <v/>
      </c>
      <c r="AE16" s="54"/>
      <c r="AF16" s="54"/>
      <c r="AG16" s="47" t="str">
        <f aca="false">IF(AE16="","",IF(AE15="","",AE15+AF16-AE16))</f>
        <v/>
      </c>
      <c r="AH16" s="59"/>
    </row>
    <row r="17" customFormat="false" ht="19.5" hidden="false" customHeight="true" outlineLevel="0" collapsed="false">
      <c r="A17" s="44"/>
      <c r="B17" s="51"/>
      <c r="C17" s="51"/>
      <c r="D17" s="51"/>
      <c r="E17" s="51"/>
      <c r="F17" s="51"/>
      <c r="G17" s="51"/>
      <c r="H17" s="51"/>
      <c r="I17" s="51"/>
      <c r="J17" s="46" t="str">
        <f aca="false">IF(B17="","",IFERROR(ROUND(VLOOKUP(INT(B17),'Tank Tables'!$A$5:$B$121,2,FALSE())+(B17-INT(B17))*(VLOOKUP(INT(B17)+1,'Tank Tables'!$A$5:$B$121,2,FALSE())-VLOOKUP(INT(B17),'Tank Tables'!$A$5:$B$121,2,FALSE())),0),IFERROR(ROUND(VLOOKUP(INT(B17),'Tank Tables'!$A$5:$B$121,2,FALSE()),0),"?")))</f>
        <v/>
      </c>
      <c r="K17" s="46" t="str">
        <f aca="false">IF(C17="","",IFERROR(ROUND(VLOOKUP(INT(C17),'Tank Tables'!$C$5:$D$130,2,FALSE())+(C17-INT(C17))*(VLOOKUP(INT(C17)+1,'Tank Tables'!$C$5:$D$130,2,FALSE())-VLOOKUP(INT(C17),'Tank Tables'!$C$5:$D$130,2,FALSE())),0),IFERROR(ROUND(VLOOKUP(INT(C17),'Tank Tables'!$C$5:$D$130,2,FALSE()),0),"?")))</f>
        <v/>
      </c>
      <c r="L17" s="46" t="str">
        <f aca="false">IF(D17="","",IFERROR(ROUND(VLOOKUP(INT(D17),'Tank Tables'!$E$5:$F$130,2,FALSE())+(D17-INT(D17))*(VLOOKUP(INT(D17)+1,'Tank Tables'!$E$5:$F$130,2,FALSE())-VLOOKUP(INT(D17),'Tank Tables'!$E$5:$F$130,2,FALSE())),0),IFERROR(ROUND(VLOOKUP(INT(D17),'Tank Tables'!$E$5:$F$130,2,FALSE()),0),"?")))</f>
        <v/>
      </c>
      <c r="M17" s="46" t="str">
        <f aca="false">IF(E17="","",IFERROR(ROUND(VLOOKUP(INT(E17),'Tank Tables'!$G$5:$H$130,2,FALSE())+(E17-INT(E17))*(VLOOKUP(INT(E17)+1,'Tank Tables'!$G$5:$H$130,2,FALSE())-VLOOKUP(INT(E17),'Tank Tables'!$G$5:$H$130,2,FALSE())),0),IFERROR(ROUND(VLOOKUP(INT(E17),'Tank Tables'!$G$5:$H$130,2,FALSE()),0),"?")))</f>
        <v/>
      </c>
      <c r="N17" s="46" t="str">
        <f aca="false">IF(F17="","",IFERROR(ROUND(VLOOKUP(INT(F17),'Tank Tables'!$A$5:$B$121,2,FALSE())+(F17-INT(F17))*(VLOOKUP(INT(F17)+1,'Tank Tables'!$A$5:$B$121,2,FALSE())-VLOOKUP(INT(F17),'Tank Tables'!$A$5:$B$121,2,FALSE())),0),IFERROR(ROUND(VLOOKUP(INT(F17),'Tank Tables'!$A$5:$B$121,2,FALSE()),0),"?")))</f>
        <v/>
      </c>
      <c r="O17" s="46" t="str">
        <f aca="false">IF(G17="","",IFERROR(ROUND(VLOOKUP(INT(G17),'Tank Tables'!$C$5:$D$130,2,FALSE())+(G17-INT(G17))*(VLOOKUP(INT(G17)+1,'Tank Tables'!$C$5:$D$130,2,FALSE())-VLOOKUP(INT(G17),'Tank Tables'!$C$5:$D$130,2,FALSE())),0),IFERROR(ROUND(VLOOKUP(INT(G17),'Tank Tables'!$C$5:$D$130,2,FALSE()),0),"?")))</f>
        <v/>
      </c>
      <c r="P17" s="46" t="str">
        <f aca="false">IF(H17="","",IFERROR(ROUND(VLOOKUP(INT(H17),'Tank Tables'!$E$5:$F$130,2,FALSE())+(H17-INT(H17))*(VLOOKUP(INT(H17)+1,'Tank Tables'!$E$5:$F$130,2,FALSE())-VLOOKUP(INT(H17),'Tank Tables'!$E$5:$F$130,2,FALSE())),0),IFERROR(ROUND(VLOOKUP(INT(H17),'Tank Tables'!$E$5:$F$130,2,FALSE()),0),"?")))</f>
        <v/>
      </c>
      <c r="Q17" s="46" t="str">
        <f aca="false">IF(I17="","",IFERROR(ROUND(VLOOKUP(INT(I17),'Tank Tables'!$G$5:$H$130,2,FALSE())+(I17-INT(I17))*(VLOOKUP(INT(I17)+1,'Tank Tables'!$G$5:$H$130,2,FALSE())-VLOOKUP(INT(I17),'Tank Tables'!$G$5:$H$130,2,FALSE())),0),IFERROR(ROUND(VLOOKUP(INT(I17),'Tank Tables'!$G$5:$H$130,2,FALSE()),0),"?")))</f>
        <v/>
      </c>
      <c r="R17" s="47" t="str">
        <f aca="false">IF(COUNT(J17:M17)=0,"",SUM(J17:M17))</f>
        <v/>
      </c>
      <c r="S17" s="47" t="str">
        <f aca="false">IF(COUNT(N17:Q17)=0,"",SUM(N17:Q17))</f>
        <v/>
      </c>
      <c r="T17" s="53" t="str">
        <f aca="false">IF(COUNT(R17:S17)=0,"",SUM(R17:S17))</f>
        <v/>
      </c>
      <c r="U17" s="54"/>
      <c r="V17" s="47" t="str">
        <f aca="false">IF(T17="","",IF(T16="","",T16+U17-T17))</f>
        <v/>
      </c>
      <c r="W17" s="46" t="str">
        <f aca="false">IF(T17="","",Settings!$C$7-T17)</f>
        <v/>
      </c>
      <c r="X17" s="46" t="str">
        <f aca="false">IF(T17="","",MAX(0,INT(W17/Settings!$C$8)))</f>
        <v/>
      </c>
      <c r="Y17" s="57" t="str">
        <f aca="false">IF(T17="","",IF(X17&gt;=2,"ROOM FOR "&amp;X17&amp;" TRUCKS",IF(X17=1,"ROOM FOR 1 TRUCK","")))</f>
        <v/>
      </c>
      <c r="Z17" s="54"/>
      <c r="AA17" s="54"/>
      <c r="AB17" s="54"/>
      <c r="AC17" s="47" t="str">
        <f aca="false">IF(COUNT(Z17:AA17)=0,"",SUM(Z17:AA17))</f>
        <v/>
      </c>
      <c r="AD17" s="47" t="str">
        <f aca="false">IF(AC17="","",IF(AC16="","",AC16+AB17-AC17))</f>
        <v/>
      </c>
      <c r="AE17" s="54"/>
      <c r="AF17" s="54"/>
      <c r="AG17" s="47" t="str">
        <f aca="false">IF(AE17="","",IF(AE16="","",AE16+AF17-AE17))</f>
        <v/>
      </c>
      <c r="AH17" s="58"/>
    </row>
    <row r="18" customFormat="false" ht="19.5" hidden="false" customHeight="true" outlineLevel="0" collapsed="false">
      <c r="A18" s="44"/>
      <c r="B18" s="51"/>
      <c r="C18" s="51"/>
      <c r="D18" s="51"/>
      <c r="E18" s="51"/>
      <c r="F18" s="51"/>
      <c r="G18" s="51"/>
      <c r="H18" s="51"/>
      <c r="I18" s="51"/>
      <c r="J18" s="52" t="str">
        <f aca="false">IF(B18="","",IFERROR(ROUND(VLOOKUP(INT(B18),'Tank Tables'!$A$5:$B$121,2,FALSE())+(B18-INT(B18))*(VLOOKUP(INT(B18)+1,'Tank Tables'!$A$5:$B$121,2,FALSE())-VLOOKUP(INT(B18),'Tank Tables'!$A$5:$B$121,2,FALSE())),0),IFERROR(ROUND(VLOOKUP(INT(B18),'Tank Tables'!$A$5:$B$121,2,FALSE()),0),"?")))</f>
        <v/>
      </c>
      <c r="K18" s="52" t="str">
        <f aca="false">IF(C18="","",IFERROR(ROUND(VLOOKUP(INT(C18),'Tank Tables'!$C$5:$D$130,2,FALSE())+(C18-INT(C18))*(VLOOKUP(INT(C18)+1,'Tank Tables'!$C$5:$D$130,2,FALSE())-VLOOKUP(INT(C18),'Tank Tables'!$C$5:$D$130,2,FALSE())),0),IFERROR(ROUND(VLOOKUP(INT(C18),'Tank Tables'!$C$5:$D$130,2,FALSE()),0),"?")))</f>
        <v/>
      </c>
      <c r="L18" s="52" t="str">
        <f aca="false">IF(D18="","",IFERROR(ROUND(VLOOKUP(INT(D18),'Tank Tables'!$E$5:$F$130,2,FALSE())+(D18-INT(D18))*(VLOOKUP(INT(D18)+1,'Tank Tables'!$E$5:$F$130,2,FALSE())-VLOOKUP(INT(D18),'Tank Tables'!$E$5:$F$130,2,FALSE())),0),IFERROR(ROUND(VLOOKUP(INT(D18),'Tank Tables'!$E$5:$F$130,2,FALSE()),0),"?")))</f>
        <v/>
      </c>
      <c r="M18" s="52" t="str">
        <f aca="false">IF(E18="","",IFERROR(ROUND(VLOOKUP(INT(E18),'Tank Tables'!$G$5:$H$130,2,FALSE())+(E18-INT(E18))*(VLOOKUP(INT(E18)+1,'Tank Tables'!$G$5:$H$130,2,FALSE())-VLOOKUP(INT(E18),'Tank Tables'!$G$5:$H$130,2,FALSE())),0),IFERROR(ROUND(VLOOKUP(INT(E18),'Tank Tables'!$G$5:$H$130,2,FALSE()),0),"?")))</f>
        <v/>
      </c>
      <c r="N18" s="52" t="str">
        <f aca="false">IF(F18="","",IFERROR(ROUND(VLOOKUP(INT(F18),'Tank Tables'!$A$5:$B$121,2,FALSE())+(F18-INT(F18))*(VLOOKUP(INT(F18)+1,'Tank Tables'!$A$5:$B$121,2,FALSE())-VLOOKUP(INT(F18),'Tank Tables'!$A$5:$B$121,2,FALSE())),0),IFERROR(ROUND(VLOOKUP(INT(F18),'Tank Tables'!$A$5:$B$121,2,FALSE()),0),"?")))</f>
        <v/>
      </c>
      <c r="O18" s="52" t="str">
        <f aca="false">IF(G18="","",IFERROR(ROUND(VLOOKUP(INT(G18),'Tank Tables'!$C$5:$D$130,2,FALSE())+(G18-INT(G18))*(VLOOKUP(INT(G18)+1,'Tank Tables'!$C$5:$D$130,2,FALSE())-VLOOKUP(INT(G18),'Tank Tables'!$C$5:$D$130,2,FALSE())),0),IFERROR(ROUND(VLOOKUP(INT(G18),'Tank Tables'!$C$5:$D$130,2,FALSE()),0),"?")))</f>
        <v/>
      </c>
      <c r="P18" s="52" t="str">
        <f aca="false">IF(H18="","",IFERROR(ROUND(VLOOKUP(INT(H18),'Tank Tables'!$E$5:$F$130,2,FALSE())+(H18-INT(H18))*(VLOOKUP(INT(H18)+1,'Tank Tables'!$E$5:$F$130,2,FALSE())-VLOOKUP(INT(H18),'Tank Tables'!$E$5:$F$130,2,FALSE())),0),IFERROR(ROUND(VLOOKUP(INT(H18),'Tank Tables'!$E$5:$F$130,2,FALSE()),0),"?")))</f>
        <v/>
      </c>
      <c r="Q18" s="52" t="str">
        <f aca="false">IF(I18="","",IFERROR(ROUND(VLOOKUP(INT(I18),'Tank Tables'!$G$5:$H$130,2,FALSE())+(I18-INT(I18))*(VLOOKUP(INT(I18)+1,'Tank Tables'!$G$5:$H$130,2,FALSE())-VLOOKUP(INT(I18),'Tank Tables'!$G$5:$H$130,2,FALSE())),0),IFERROR(ROUND(VLOOKUP(INT(I18),'Tank Tables'!$G$5:$H$130,2,FALSE()),0),"?")))</f>
        <v/>
      </c>
      <c r="R18" s="47" t="str">
        <f aca="false">IF(COUNT(J18:M18)=0,"",SUM(J18:M18))</f>
        <v/>
      </c>
      <c r="S18" s="47" t="str">
        <f aca="false">IF(COUNT(N18:Q18)=0,"",SUM(N18:Q18))</f>
        <v/>
      </c>
      <c r="T18" s="53" t="str">
        <f aca="false">IF(COUNT(R18:S18)=0,"",SUM(R18:S18))</f>
        <v/>
      </c>
      <c r="U18" s="54"/>
      <c r="V18" s="47" t="str">
        <f aca="false">IF(T18="","",IF(T17="","",T17+U18-T18))</f>
        <v/>
      </c>
      <c r="W18" s="52" t="str">
        <f aca="false">IF(T18="","",Settings!$C$7-T18)</f>
        <v/>
      </c>
      <c r="X18" s="52" t="str">
        <f aca="false">IF(T18="","",MAX(0,INT(W18/Settings!$C$8)))</f>
        <v/>
      </c>
      <c r="Y18" s="55" t="str">
        <f aca="false">IF(T18="","",IF(X18&gt;=2,"ROOM FOR "&amp;X18&amp;" TRUCKS",IF(X18=1,"ROOM FOR 1 TRUCK","")))</f>
        <v/>
      </c>
      <c r="Z18" s="54"/>
      <c r="AA18" s="54"/>
      <c r="AB18" s="54"/>
      <c r="AC18" s="47" t="str">
        <f aca="false">IF(COUNT(Z18:AA18)=0,"",SUM(Z18:AA18))</f>
        <v/>
      </c>
      <c r="AD18" s="47" t="str">
        <f aca="false">IF(AC18="","",IF(AC17="","",AC17+AB18-AC18))</f>
        <v/>
      </c>
      <c r="AE18" s="54"/>
      <c r="AF18" s="54"/>
      <c r="AG18" s="47" t="str">
        <f aca="false">IF(AE18="","",IF(AE17="","",AE17+AF18-AE18))</f>
        <v/>
      </c>
      <c r="AH18" s="59"/>
    </row>
    <row r="19" customFormat="false" ht="19.5" hidden="false" customHeight="true" outlineLevel="0" collapsed="false">
      <c r="A19" s="44"/>
      <c r="B19" s="51"/>
      <c r="C19" s="51"/>
      <c r="D19" s="51"/>
      <c r="E19" s="51"/>
      <c r="F19" s="51"/>
      <c r="G19" s="51"/>
      <c r="H19" s="51"/>
      <c r="I19" s="51"/>
      <c r="J19" s="46" t="str">
        <f aca="false">IF(B19="","",IFERROR(ROUND(VLOOKUP(INT(B19),'Tank Tables'!$A$5:$B$121,2,FALSE())+(B19-INT(B19))*(VLOOKUP(INT(B19)+1,'Tank Tables'!$A$5:$B$121,2,FALSE())-VLOOKUP(INT(B19),'Tank Tables'!$A$5:$B$121,2,FALSE())),0),IFERROR(ROUND(VLOOKUP(INT(B19),'Tank Tables'!$A$5:$B$121,2,FALSE()),0),"?")))</f>
        <v/>
      </c>
      <c r="K19" s="46" t="str">
        <f aca="false">IF(C19="","",IFERROR(ROUND(VLOOKUP(INT(C19),'Tank Tables'!$C$5:$D$130,2,FALSE())+(C19-INT(C19))*(VLOOKUP(INT(C19)+1,'Tank Tables'!$C$5:$D$130,2,FALSE())-VLOOKUP(INT(C19),'Tank Tables'!$C$5:$D$130,2,FALSE())),0),IFERROR(ROUND(VLOOKUP(INT(C19),'Tank Tables'!$C$5:$D$130,2,FALSE()),0),"?")))</f>
        <v/>
      </c>
      <c r="L19" s="46" t="str">
        <f aca="false">IF(D19="","",IFERROR(ROUND(VLOOKUP(INT(D19),'Tank Tables'!$E$5:$F$130,2,FALSE())+(D19-INT(D19))*(VLOOKUP(INT(D19)+1,'Tank Tables'!$E$5:$F$130,2,FALSE())-VLOOKUP(INT(D19),'Tank Tables'!$E$5:$F$130,2,FALSE())),0),IFERROR(ROUND(VLOOKUP(INT(D19),'Tank Tables'!$E$5:$F$130,2,FALSE()),0),"?")))</f>
        <v/>
      </c>
      <c r="M19" s="46" t="str">
        <f aca="false">IF(E19="","",IFERROR(ROUND(VLOOKUP(INT(E19),'Tank Tables'!$G$5:$H$130,2,FALSE())+(E19-INT(E19))*(VLOOKUP(INT(E19)+1,'Tank Tables'!$G$5:$H$130,2,FALSE())-VLOOKUP(INT(E19),'Tank Tables'!$G$5:$H$130,2,FALSE())),0),IFERROR(ROUND(VLOOKUP(INT(E19),'Tank Tables'!$G$5:$H$130,2,FALSE()),0),"?")))</f>
        <v/>
      </c>
      <c r="N19" s="46" t="str">
        <f aca="false">IF(F19="","",IFERROR(ROUND(VLOOKUP(INT(F19),'Tank Tables'!$A$5:$B$121,2,FALSE())+(F19-INT(F19))*(VLOOKUP(INT(F19)+1,'Tank Tables'!$A$5:$B$121,2,FALSE())-VLOOKUP(INT(F19),'Tank Tables'!$A$5:$B$121,2,FALSE())),0),IFERROR(ROUND(VLOOKUP(INT(F19),'Tank Tables'!$A$5:$B$121,2,FALSE()),0),"?")))</f>
        <v/>
      </c>
      <c r="O19" s="46" t="str">
        <f aca="false">IF(G19="","",IFERROR(ROUND(VLOOKUP(INT(G19),'Tank Tables'!$C$5:$D$130,2,FALSE())+(G19-INT(G19))*(VLOOKUP(INT(G19)+1,'Tank Tables'!$C$5:$D$130,2,FALSE())-VLOOKUP(INT(G19),'Tank Tables'!$C$5:$D$130,2,FALSE())),0),IFERROR(ROUND(VLOOKUP(INT(G19),'Tank Tables'!$C$5:$D$130,2,FALSE()),0),"?")))</f>
        <v/>
      </c>
      <c r="P19" s="46" t="str">
        <f aca="false">IF(H19="","",IFERROR(ROUND(VLOOKUP(INT(H19),'Tank Tables'!$E$5:$F$130,2,FALSE())+(H19-INT(H19))*(VLOOKUP(INT(H19)+1,'Tank Tables'!$E$5:$F$130,2,FALSE())-VLOOKUP(INT(H19),'Tank Tables'!$E$5:$F$130,2,FALSE())),0),IFERROR(ROUND(VLOOKUP(INT(H19),'Tank Tables'!$E$5:$F$130,2,FALSE()),0),"?")))</f>
        <v/>
      </c>
      <c r="Q19" s="46" t="str">
        <f aca="false">IF(I19="","",IFERROR(ROUND(VLOOKUP(INT(I19),'Tank Tables'!$G$5:$H$130,2,FALSE())+(I19-INT(I19))*(VLOOKUP(INT(I19)+1,'Tank Tables'!$G$5:$H$130,2,FALSE())-VLOOKUP(INT(I19),'Tank Tables'!$G$5:$H$130,2,FALSE())),0),IFERROR(ROUND(VLOOKUP(INT(I19),'Tank Tables'!$G$5:$H$130,2,FALSE()),0),"?")))</f>
        <v/>
      </c>
      <c r="R19" s="47" t="str">
        <f aca="false">IF(COUNT(J19:M19)=0,"",SUM(J19:M19))</f>
        <v/>
      </c>
      <c r="S19" s="47" t="str">
        <f aca="false">IF(COUNT(N19:Q19)=0,"",SUM(N19:Q19))</f>
        <v/>
      </c>
      <c r="T19" s="53" t="str">
        <f aca="false">IF(COUNT(R19:S19)=0,"",SUM(R19:S19))</f>
        <v/>
      </c>
      <c r="U19" s="54"/>
      <c r="V19" s="47" t="str">
        <f aca="false">IF(T19="","",IF(T18="","",T18+U19-T19))</f>
        <v/>
      </c>
      <c r="W19" s="46" t="str">
        <f aca="false">IF(T19="","",Settings!$C$7-T19)</f>
        <v/>
      </c>
      <c r="X19" s="46" t="str">
        <f aca="false">IF(T19="","",MAX(0,INT(W19/Settings!$C$8)))</f>
        <v/>
      </c>
      <c r="Y19" s="57" t="str">
        <f aca="false">IF(T19="","",IF(X19&gt;=2,"ROOM FOR "&amp;X19&amp;" TRUCKS",IF(X19=1,"ROOM FOR 1 TRUCK","")))</f>
        <v/>
      </c>
      <c r="Z19" s="54"/>
      <c r="AA19" s="54"/>
      <c r="AB19" s="54"/>
      <c r="AC19" s="47" t="str">
        <f aca="false">IF(COUNT(Z19:AA19)=0,"",SUM(Z19:AA19))</f>
        <v/>
      </c>
      <c r="AD19" s="47" t="str">
        <f aca="false">IF(AC19="","",IF(AC18="","",AC18+AB19-AC19))</f>
        <v/>
      </c>
      <c r="AE19" s="54"/>
      <c r="AF19" s="54"/>
      <c r="AG19" s="47" t="str">
        <f aca="false">IF(AE19="","",IF(AE18="","",AE18+AF19-AE19))</f>
        <v/>
      </c>
      <c r="AH19" s="58"/>
    </row>
    <row r="20" customFormat="false" ht="19.5" hidden="false" customHeight="true" outlineLevel="0" collapsed="false">
      <c r="A20" s="44"/>
      <c r="B20" s="51"/>
      <c r="C20" s="51"/>
      <c r="D20" s="51"/>
      <c r="E20" s="51"/>
      <c r="F20" s="51"/>
      <c r="G20" s="51"/>
      <c r="H20" s="51"/>
      <c r="I20" s="51"/>
      <c r="J20" s="52" t="str">
        <f aca="false">IF(B20="","",IFERROR(ROUND(VLOOKUP(INT(B20),'Tank Tables'!$A$5:$B$121,2,FALSE())+(B20-INT(B20))*(VLOOKUP(INT(B20)+1,'Tank Tables'!$A$5:$B$121,2,FALSE())-VLOOKUP(INT(B20),'Tank Tables'!$A$5:$B$121,2,FALSE())),0),IFERROR(ROUND(VLOOKUP(INT(B20),'Tank Tables'!$A$5:$B$121,2,FALSE()),0),"?")))</f>
        <v/>
      </c>
      <c r="K20" s="52" t="str">
        <f aca="false">IF(C20="","",IFERROR(ROUND(VLOOKUP(INT(C20),'Tank Tables'!$C$5:$D$130,2,FALSE())+(C20-INT(C20))*(VLOOKUP(INT(C20)+1,'Tank Tables'!$C$5:$D$130,2,FALSE())-VLOOKUP(INT(C20),'Tank Tables'!$C$5:$D$130,2,FALSE())),0),IFERROR(ROUND(VLOOKUP(INT(C20),'Tank Tables'!$C$5:$D$130,2,FALSE()),0),"?")))</f>
        <v/>
      </c>
      <c r="L20" s="52" t="str">
        <f aca="false">IF(D20="","",IFERROR(ROUND(VLOOKUP(INT(D20),'Tank Tables'!$E$5:$F$130,2,FALSE())+(D20-INT(D20))*(VLOOKUP(INT(D20)+1,'Tank Tables'!$E$5:$F$130,2,FALSE())-VLOOKUP(INT(D20),'Tank Tables'!$E$5:$F$130,2,FALSE())),0),IFERROR(ROUND(VLOOKUP(INT(D20),'Tank Tables'!$E$5:$F$130,2,FALSE()),0),"?")))</f>
        <v/>
      </c>
      <c r="M20" s="52" t="str">
        <f aca="false">IF(E20="","",IFERROR(ROUND(VLOOKUP(INT(E20),'Tank Tables'!$G$5:$H$130,2,FALSE())+(E20-INT(E20))*(VLOOKUP(INT(E20)+1,'Tank Tables'!$G$5:$H$130,2,FALSE())-VLOOKUP(INT(E20),'Tank Tables'!$G$5:$H$130,2,FALSE())),0),IFERROR(ROUND(VLOOKUP(INT(E20),'Tank Tables'!$G$5:$H$130,2,FALSE()),0),"?")))</f>
        <v/>
      </c>
      <c r="N20" s="52" t="str">
        <f aca="false">IF(F20="","",IFERROR(ROUND(VLOOKUP(INT(F20),'Tank Tables'!$A$5:$B$121,2,FALSE())+(F20-INT(F20))*(VLOOKUP(INT(F20)+1,'Tank Tables'!$A$5:$B$121,2,FALSE())-VLOOKUP(INT(F20),'Tank Tables'!$A$5:$B$121,2,FALSE())),0),IFERROR(ROUND(VLOOKUP(INT(F20),'Tank Tables'!$A$5:$B$121,2,FALSE()),0),"?")))</f>
        <v/>
      </c>
      <c r="O20" s="52" t="str">
        <f aca="false">IF(G20="","",IFERROR(ROUND(VLOOKUP(INT(G20),'Tank Tables'!$C$5:$D$130,2,FALSE())+(G20-INT(G20))*(VLOOKUP(INT(G20)+1,'Tank Tables'!$C$5:$D$130,2,FALSE())-VLOOKUP(INT(G20),'Tank Tables'!$C$5:$D$130,2,FALSE())),0),IFERROR(ROUND(VLOOKUP(INT(G20),'Tank Tables'!$C$5:$D$130,2,FALSE()),0),"?")))</f>
        <v/>
      </c>
      <c r="P20" s="52" t="str">
        <f aca="false">IF(H20="","",IFERROR(ROUND(VLOOKUP(INT(H20),'Tank Tables'!$E$5:$F$130,2,FALSE())+(H20-INT(H20))*(VLOOKUP(INT(H20)+1,'Tank Tables'!$E$5:$F$130,2,FALSE())-VLOOKUP(INT(H20),'Tank Tables'!$E$5:$F$130,2,FALSE())),0),IFERROR(ROUND(VLOOKUP(INT(H20),'Tank Tables'!$E$5:$F$130,2,FALSE()),0),"?")))</f>
        <v/>
      </c>
      <c r="Q20" s="52" t="str">
        <f aca="false">IF(I20="","",IFERROR(ROUND(VLOOKUP(INT(I20),'Tank Tables'!$G$5:$H$130,2,FALSE())+(I20-INT(I20))*(VLOOKUP(INT(I20)+1,'Tank Tables'!$G$5:$H$130,2,FALSE())-VLOOKUP(INT(I20),'Tank Tables'!$G$5:$H$130,2,FALSE())),0),IFERROR(ROUND(VLOOKUP(INT(I20),'Tank Tables'!$G$5:$H$130,2,FALSE()),0),"?")))</f>
        <v/>
      </c>
      <c r="R20" s="47" t="str">
        <f aca="false">IF(COUNT(J20:M20)=0,"",SUM(J20:M20))</f>
        <v/>
      </c>
      <c r="S20" s="47" t="str">
        <f aca="false">IF(COUNT(N20:Q20)=0,"",SUM(N20:Q20))</f>
        <v/>
      </c>
      <c r="T20" s="53" t="str">
        <f aca="false">IF(COUNT(R20:S20)=0,"",SUM(R20:S20))</f>
        <v/>
      </c>
      <c r="U20" s="54"/>
      <c r="V20" s="47" t="str">
        <f aca="false">IF(T20="","",IF(T19="","",T19+U20-T20))</f>
        <v/>
      </c>
      <c r="W20" s="52" t="str">
        <f aca="false">IF(T20="","",Settings!$C$7-T20)</f>
        <v/>
      </c>
      <c r="X20" s="52" t="str">
        <f aca="false">IF(T20="","",MAX(0,INT(W20/Settings!$C$8)))</f>
        <v/>
      </c>
      <c r="Y20" s="55" t="str">
        <f aca="false">IF(T20="","",IF(X20&gt;=2,"ROOM FOR "&amp;X20&amp;" TRUCKS",IF(X20=1,"ROOM FOR 1 TRUCK","")))</f>
        <v/>
      </c>
      <c r="Z20" s="54"/>
      <c r="AA20" s="54"/>
      <c r="AB20" s="54"/>
      <c r="AC20" s="47" t="str">
        <f aca="false">IF(COUNT(Z20:AA20)=0,"",SUM(Z20:AA20))</f>
        <v/>
      </c>
      <c r="AD20" s="47" t="str">
        <f aca="false">IF(AC20="","",IF(AC19="","",AC19+AB20-AC20))</f>
        <v/>
      </c>
      <c r="AE20" s="54"/>
      <c r="AF20" s="54"/>
      <c r="AG20" s="47" t="str">
        <f aca="false">IF(AE20="","",IF(AE19="","",AE19+AF20-AE20))</f>
        <v/>
      </c>
      <c r="AH20" s="59"/>
    </row>
    <row r="21" customFormat="false" ht="19.5" hidden="false" customHeight="true" outlineLevel="0" collapsed="false">
      <c r="A21" s="44"/>
      <c r="B21" s="51"/>
      <c r="C21" s="51"/>
      <c r="D21" s="51"/>
      <c r="E21" s="51"/>
      <c r="F21" s="51"/>
      <c r="G21" s="51"/>
      <c r="H21" s="51"/>
      <c r="I21" s="51"/>
      <c r="J21" s="46" t="str">
        <f aca="false">IF(B21="","",IFERROR(ROUND(VLOOKUP(INT(B21),'Tank Tables'!$A$5:$B$121,2,FALSE())+(B21-INT(B21))*(VLOOKUP(INT(B21)+1,'Tank Tables'!$A$5:$B$121,2,FALSE())-VLOOKUP(INT(B21),'Tank Tables'!$A$5:$B$121,2,FALSE())),0),IFERROR(ROUND(VLOOKUP(INT(B21),'Tank Tables'!$A$5:$B$121,2,FALSE()),0),"?")))</f>
        <v/>
      </c>
      <c r="K21" s="46" t="str">
        <f aca="false">IF(C21="","",IFERROR(ROUND(VLOOKUP(INT(C21),'Tank Tables'!$C$5:$D$130,2,FALSE())+(C21-INT(C21))*(VLOOKUP(INT(C21)+1,'Tank Tables'!$C$5:$D$130,2,FALSE())-VLOOKUP(INT(C21),'Tank Tables'!$C$5:$D$130,2,FALSE())),0),IFERROR(ROUND(VLOOKUP(INT(C21),'Tank Tables'!$C$5:$D$130,2,FALSE()),0),"?")))</f>
        <v/>
      </c>
      <c r="L21" s="46" t="str">
        <f aca="false">IF(D21="","",IFERROR(ROUND(VLOOKUP(INT(D21),'Tank Tables'!$E$5:$F$130,2,FALSE())+(D21-INT(D21))*(VLOOKUP(INT(D21)+1,'Tank Tables'!$E$5:$F$130,2,FALSE())-VLOOKUP(INT(D21),'Tank Tables'!$E$5:$F$130,2,FALSE())),0),IFERROR(ROUND(VLOOKUP(INT(D21),'Tank Tables'!$E$5:$F$130,2,FALSE()),0),"?")))</f>
        <v/>
      </c>
      <c r="M21" s="46" t="str">
        <f aca="false">IF(E21="","",IFERROR(ROUND(VLOOKUP(INT(E21),'Tank Tables'!$G$5:$H$130,2,FALSE())+(E21-INT(E21))*(VLOOKUP(INT(E21)+1,'Tank Tables'!$G$5:$H$130,2,FALSE())-VLOOKUP(INT(E21),'Tank Tables'!$G$5:$H$130,2,FALSE())),0),IFERROR(ROUND(VLOOKUP(INT(E21),'Tank Tables'!$G$5:$H$130,2,FALSE()),0),"?")))</f>
        <v/>
      </c>
      <c r="N21" s="46" t="str">
        <f aca="false">IF(F21="","",IFERROR(ROUND(VLOOKUP(INT(F21),'Tank Tables'!$A$5:$B$121,2,FALSE())+(F21-INT(F21))*(VLOOKUP(INT(F21)+1,'Tank Tables'!$A$5:$B$121,2,FALSE())-VLOOKUP(INT(F21),'Tank Tables'!$A$5:$B$121,2,FALSE())),0),IFERROR(ROUND(VLOOKUP(INT(F21),'Tank Tables'!$A$5:$B$121,2,FALSE()),0),"?")))</f>
        <v/>
      </c>
      <c r="O21" s="46" t="str">
        <f aca="false">IF(G21="","",IFERROR(ROUND(VLOOKUP(INT(G21),'Tank Tables'!$C$5:$D$130,2,FALSE())+(G21-INT(G21))*(VLOOKUP(INT(G21)+1,'Tank Tables'!$C$5:$D$130,2,FALSE())-VLOOKUP(INT(G21),'Tank Tables'!$C$5:$D$130,2,FALSE())),0),IFERROR(ROUND(VLOOKUP(INT(G21),'Tank Tables'!$C$5:$D$130,2,FALSE()),0),"?")))</f>
        <v/>
      </c>
      <c r="P21" s="46" t="str">
        <f aca="false">IF(H21="","",IFERROR(ROUND(VLOOKUP(INT(H21),'Tank Tables'!$E$5:$F$130,2,FALSE())+(H21-INT(H21))*(VLOOKUP(INT(H21)+1,'Tank Tables'!$E$5:$F$130,2,FALSE())-VLOOKUP(INT(H21),'Tank Tables'!$E$5:$F$130,2,FALSE())),0),IFERROR(ROUND(VLOOKUP(INT(H21),'Tank Tables'!$E$5:$F$130,2,FALSE()),0),"?")))</f>
        <v/>
      </c>
      <c r="Q21" s="46" t="str">
        <f aca="false">IF(I21="","",IFERROR(ROUND(VLOOKUP(INT(I21),'Tank Tables'!$G$5:$H$130,2,FALSE())+(I21-INT(I21))*(VLOOKUP(INT(I21)+1,'Tank Tables'!$G$5:$H$130,2,FALSE())-VLOOKUP(INT(I21),'Tank Tables'!$G$5:$H$130,2,FALSE())),0),IFERROR(ROUND(VLOOKUP(INT(I21),'Tank Tables'!$G$5:$H$130,2,FALSE()),0),"?")))</f>
        <v/>
      </c>
      <c r="R21" s="47" t="str">
        <f aca="false">IF(COUNT(J21:M21)=0,"",SUM(J21:M21))</f>
        <v/>
      </c>
      <c r="S21" s="47" t="str">
        <f aca="false">IF(COUNT(N21:Q21)=0,"",SUM(N21:Q21))</f>
        <v/>
      </c>
      <c r="T21" s="53" t="str">
        <f aca="false">IF(COUNT(R21:S21)=0,"",SUM(R21:S21))</f>
        <v/>
      </c>
      <c r="U21" s="54"/>
      <c r="V21" s="47" t="str">
        <f aca="false">IF(T21="","",IF(T20="","",T20+U21-T21))</f>
        <v/>
      </c>
      <c r="W21" s="46" t="str">
        <f aca="false">IF(T21="","",Settings!$C$7-T21)</f>
        <v/>
      </c>
      <c r="X21" s="46" t="str">
        <f aca="false">IF(T21="","",MAX(0,INT(W21/Settings!$C$8)))</f>
        <v/>
      </c>
      <c r="Y21" s="57" t="str">
        <f aca="false">IF(T21="","",IF(X21&gt;=2,"ROOM FOR "&amp;X21&amp;" TRUCKS",IF(X21=1,"ROOM FOR 1 TRUCK","")))</f>
        <v/>
      </c>
      <c r="Z21" s="54"/>
      <c r="AA21" s="54"/>
      <c r="AB21" s="54"/>
      <c r="AC21" s="47" t="str">
        <f aca="false">IF(COUNT(Z21:AA21)=0,"",SUM(Z21:AA21))</f>
        <v/>
      </c>
      <c r="AD21" s="47" t="str">
        <f aca="false">IF(AC21="","",IF(AC20="","",AC20+AB21-AC21))</f>
        <v/>
      </c>
      <c r="AE21" s="54"/>
      <c r="AF21" s="54"/>
      <c r="AG21" s="47" t="str">
        <f aca="false">IF(AE21="","",IF(AE20="","",AE20+AF21-AE21))</f>
        <v/>
      </c>
      <c r="AH21" s="58"/>
    </row>
    <row r="22" customFormat="false" ht="19.5" hidden="false" customHeight="true" outlineLevel="0" collapsed="false">
      <c r="A22" s="44"/>
      <c r="B22" s="51"/>
      <c r="C22" s="51"/>
      <c r="D22" s="51"/>
      <c r="E22" s="51"/>
      <c r="F22" s="51"/>
      <c r="G22" s="51"/>
      <c r="H22" s="51"/>
      <c r="I22" s="51"/>
      <c r="J22" s="52" t="str">
        <f aca="false">IF(B22="","",IFERROR(ROUND(VLOOKUP(INT(B22),'Tank Tables'!$A$5:$B$121,2,FALSE())+(B22-INT(B22))*(VLOOKUP(INT(B22)+1,'Tank Tables'!$A$5:$B$121,2,FALSE())-VLOOKUP(INT(B22),'Tank Tables'!$A$5:$B$121,2,FALSE())),0),IFERROR(ROUND(VLOOKUP(INT(B22),'Tank Tables'!$A$5:$B$121,2,FALSE()),0),"?")))</f>
        <v/>
      </c>
      <c r="K22" s="52" t="str">
        <f aca="false">IF(C22="","",IFERROR(ROUND(VLOOKUP(INT(C22),'Tank Tables'!$C$5:$D$130,2,FALSE())+(C22-INT(C22))*(VLOOKUP(INT(C22)+1,'Tank Tables'!$C$5:$D$130,2,FALSE())-VLOOKUP(INT(C22),'Tank Tables'!$C$5:$D$130,2,FALSE())),0),IFERROR(ROUND(VLOOKUP(INT(C22),'Tank Tables'!$C$5:$D$130,2,FALSE()),0),"?")))</f>
        <v/>
      </c>
      <c r="L22" s="52" t="str">
        <f aca="false">IF(D22="","",IFERROR(ROUND(VLOOKUP(INT(D22),'Tank Tables'!$E$5:$F$130,2,FALSE())+(D22-INT(D22))*(VLOOKUP(INT(D22)+1,'Tank Tables'!$E$5:$F$130,2,FALSE())-VLOOKUP(INT(D22),'Tank Tables'!$E$5:$F$130,2,FALSE())),0),IFERROR(ROUND(VLOOKUP(INT(D22),'Tank Tables'!$E$5:$F$130,2,FALSE()),0),"?")))</f>
        <v/>
      </c>
      <c r="M22" s="52" t="str">
        <f aca="false">IF(E22="","",IFERROR(ROUND(VLOOKUP(INT(E22),'Tank Tables'!$G$5:$H$130,2,FALSE())+(E22-INT(E22))*(VLOOKUP(INT(E22)+1,'Tank Tables'!$G$5:$H$130,2,FALSE())-VLOOKUP(INT(E22),'Tank Tables'!$G$5:$H$130,2,FALSE())),0),IFERROR(ROUND(VLOOKUP(INT(E22),'Tank Tables'!$G$5:$H$130,2,FALSE()),0),"?")))</f>
        <v/>
      </c>
      <c r="N22" s="52" t="str">
        <f aca="false">IF(F22="","",IFERROR(ROUND(VLOOKUP(INT(F22),'Tank Tables'!$A$5:$B$121,2,FALSE())+(F22-INT(F22))*(VLOOKUP(INT(F22)+1,'Tank Tables'!$A$5:$B$121,2,FALSE())-VLOOKUP(INT(F22),'Tank Tables'!$A$5:$B$121,2,FALSE())),0),IFERROR(ROUND(VLOOKUP(INT(F22),'Tank Tables'!$A$5:$B$121,2,FALSE()),0),"?")))</f>
        <v/>
      </c>
      <c r="O22" s="52" t="str">
        <f aca="false">IF(G22="","",IFERROR(ROUND(VLOOKUP(INT(G22),'Tank Tables'!$C$5:$D$130,2,FALSE())+(G22-INT(G22))*(VLOOKUP(INT(G22)+1,'Tank Tables'!$C$5:$D$130,2,FALSE())-VLOOKUP(INT(G22),'Tank Tables'!$C$5:$D$130,2,FALSE())),0),IFERROR(ROUND(VLOOKUP(INT(G22),'Tank Tables'!$C$5:$D$130,2,FALSE()),0),"?")))</f>
        <v/>
      </c>
      <c r="P22" s="52" t="str">
        <f aca="false">IF(H22="","",IFERROR(ROUND(VLOOKUP(INT(H22),'Tank Tables'!$E$5:$F$130,2,FALSE())+(H22-INT(H22))*(VLOOKUP(INT(H22)+1,'Tank Tables'!$E$5:$F$130,2,FALSE())-VLOOKUP(INT(H22),'Tank Tables'!$E$5:$F$130,2,FALSE())),0),IFERROR(ROUND(VLOOKUP(INT(H22),'Tank Tables'!$E$5:$F$130,2,FALSE()),0),"?")))</f>
        <v/>
      </c>
      <c r="Q22" s="52" t="str">
        <f aca="false">IF(I22="","",IFERROR(ROUND(VLOOKUP(INT(I22),'Tank Tables'!$G$5:$H$130,2,FALSE())+(I22-INT(I22))*(VLOOKUP(INT(I22)+1,'Tank Tables'!$G$5:$H$130,2,FALSE())-VLOOKUP(INT(I22),'Tank Tables'!$G$5:$H$130,2,FALSE())),0),IFERROR(ROUND(VLOOKUP(INT(I22),'Tank Tables'!$G$5:$H$130,2,FALSE()),0),"?")))</f>
        <v/>
      </c>
      <c r="R22" s="47" t="str">
        <f aca="false">IF(COUNT(J22:M22)=0,"",SUM(J22:M22))</f>
        <v/>
      </c>
      <c r="S22" s="47" t="str">
        <f aca="false">IF(COUNT(N22:Q22)=0,"",SUM(N22:Q22))</f>
        <v/>
      </c>
      <c r="T22" s="53" t="str">
        <f aca="false">IF(COUNT(R22:S22)=0,"",SUM(R22:S22))</f>
        <v/>
      </c>
      <c r="U22" s="54"/>
      <c r="V22" s="47" t="str">
        <f aca="false">IF(T22="","",IF(T21="","",T21+U22-T22))</f>
        <v/>
      </c>
      <c r="W22" s="52" t="str">
        <f aca="false">IF(T22="","",Settings!$C$7-T22)</f>
        <v/>
      </c>
      <c r="X22" s="52" t="str">
        <f aca="false">IF(T22="","",MAX(0,INT(W22/Settings!$C$8)))</f>
        <v/>
      </c>
      <c r="Y22" s="55" t="str">
        <f aca="false">IF(T22="","",IF(X22&gt;=2,"ROOM FOR "&amp;X22&amp;" TRUCKS",IF(X22=1,"ROOM FOR 1 TRUCK","")))</f>
        <v/>
      </c>
      <c r="Z22" s="54"/>
      <c r="AA22" s="54"/>
      <c r="AB22" s="54"/>
      <c r="AC22" s="47" t="str">
        <f aca="false">IF(COUNT(Z22:AA22)=0,"",SUM(Z22:AA22))</f>
        <v/>
      </c>
      <c r="AD22" s="47" t="str">
        <f aca="false">IF(AC22="","",IF(AC21="","",AC21+AB22-AC22))</f>
        <v/>
      </c>
      <c r="AE22" s="54"/>
      <c r="AF22" s="54"/>
      <c r="AG22" s="47" t="str">
        <f aca="false">IF(AE22="","",IF(AE21="","",AE21+AF22-AE22))</f>
        <v/>
      </c>
      <c r="AH22" s="59"/>
    </row>
    <row r="23" customFormat="false" ht="19.5" hidden="false" customHeight="true" outlineLevel="0" collapsed="false">
      <c r="A23" s="44"/>
      <c r="B23" s="51"/>
      <c r="C23" s="51"/>
      <c r="D23" s="51"/>
      <c r="E23" s="51"/>
      <c r="F23" s="51"/>
      <c r="G23" s="51"/>
      <c r="H23" s="51"/>
      <c r="I23" s="51"/>
      <c r="J23" s="46" t="str">
        <f aca="false">IF(B23="","",IFERROR(ROUND(VLOOKUP(INT(B23),'Tank Tables'!$A$5:$B$121,2,FALSE())+(B23-INT(B23))*(VLOOKUP(INT(B23)+1,'Tank Tables'!$A$5:$B$121,2,FALSE())-VLOOKUP(INT(B23),'Tank Tables'!$A$5:$B$121,2,FALSE())),0),IFERROR(ROUND(VLOOKUP(INT(B23),'Tank Tables'!$A$5:$B$121,2,FALSE()),0),"?")))</f>
        <v/>
      </c>
      <c r="K23" s="46" t="str">
        <f aca="false">IF(C23="","",IFERROR(ROUND(VLOOKUP(INT(C23),'Tank Tables'!$C$5:$D$130,2,FALSE())+(C23-INT(C23))*(VLOOKUP(INT(C23)+1,'Tank Tables'!$C$5:$D$130,2,FALSE())-VLOOKUP(INT(C23),'Tank Tables'!$C$5:$D$130,2,FALSE())),0),IFERROR(ROUND(VLOOKUP(INT(C23),'Tank Tables'!$C$5:$D$130,2,FALSE()),0),"?")))</f>
        <v/>
      </c>
      <c r="L23" s="46" t="str">
        <f aca="false">IF(D23="","",IFERROR(ROUND(VLOOKUP(INT(D23),'Tank Tables'!$E$5:$F$130,2,FALSE())+(D23-INT(D23))*(VLOOKUP(INT(D23)+1,'Tank Tables'!$E$5:$F$130,2,FALSE())-VLOOKUP(INT(D23),'Tank Tables'!$E$5:$F$130,2,FALSE())),0),IFERROR(ROUND(VLOOKUP(INT(D23),'Tank Tables'!$E$5:$F$130,2,FALSE()),0),"?")))</f>
        <v/>
      </c>
      <c r="M23" s="46" t="str">
        <f aca="false">IF(E23="","",IFERROR(ROUND(VLOOKUP(INT(E23),'Tank Tables'!$G$5:$H$130,2,FALSE())+(E23-INT(E23))*(VLOOKUP(INT(E23)+1,'Tank Tables'!$G$5:$H$130,2,FALSE())-VLOOKUP(INT(E23),'Tank Tables'!$G$5:$H$130,2,FALSE())),0),IFERROR(ROUND(VLOOKUP(INT(E23),'Tank Tables'!$G$5:$H$130,2,FALSE()),0),"?")))</f>
        <v/>
      </c>
      <c r="N23" s="46" t="str">
        <f aca="false">IF(F23="","",IFERROR(ROUND(VLOOKUP(INT(F23),'Tank Tables'!$A$5:$B$121,2,FALSE())+(F23-INT(F23))*(VLOOKUP(INT(F23)+1,'Tank Tables'!$A$5:$B$121,2,FALSE())-VLOOKUP(INT(F23),'Tank Tables'!$A$5:$B$121,2,FALSE())),0),IFERROR(ROUND(VLOOKUP(INT(F23),'Tank Tables'!$A$5:$B$121,2,FALSE()),0),"?")))</f>
        <v/>
      </c>
      <c r="O23" s="46" t="str">
        <f aca="false">IF(G23="","",IFERROR(ROUND(VLOOKUP(INT(G23),'Tank Tables'!$C$5:$D$130,2,FALSE())+(G23-INT(G23))*(VLOOKUP(INT(G23)+1,'Tank Tables'!$C$5:$D$130,2,FALSE())-VLOOKUP(INT(G23),'Tank Tables'!$C$5:$D$130,2,FALSE())),0),IFERROR(ROUND(VLOOKUP(INT(G23),'Tank Tables'!$C$5:$D$130,2,FALSE()),0),"?")))</f>
        <v/>
      </c>
      <c r="P23" s="46" t="str">
        <f aca="false">IF(H23="","",IFERROR(ROUND(VLOOKUP(INT(H23),'Tank Tables'!$E$5:$F$130,2,FALSE())+(H23-INT(H23))*(VLOOKUP(INT(H23)+1,'Tank Tables'!$E$5:$F$130,2,FALSE())-VLOOKUP(INT(H23),'Tank Tables'!$E$5:$F$130,2,FALSE())),0),IFERROR(ROUND(VLOOKUP(INT(H23),'Tank Tables'!$E$5:$F$130,2,FALSE()),0),"?")))</f>
        <v/>
      </c>
      <c r="Q23" s="46" t="str">
        <f aca="false">IF(I23="","",IFERROR(ROUND(VLOOKUP(INT(I23),'Tank Tables'!$G$5:$H$130,2,FALSE())+(I23-INT(I23))*(VLOOKUP(INT(I23)+1,'Tank Tables'!$G$5:$H$130,2,FALSE())-VLOOKUP(INT(I23),'Tank Tables'!$G$5:$H$130,2,FALSE())),0),IFERROR(ROUND(VLOOKUP(INT(I23),'Tank Tables'!$G$5:$H$130,2,FALSE()),0),"?")))</f>
        <v/>
      </c>
      <c r="R23" s="47" t="str">
        <f aca="false">IF(COUNT(J23:M23)=0,"",SUM(J23:M23))</f>
        <v/>
      </c>
      <c r="S23" s="47" t="str">
        <f aca="false">IF(COUNT(N23:Q23)=0,"",SUM(N23:Q23))</f>
        <v/>
      </c>
      <c r="T23" s="53" t="str">
        <f aca="false">IF(COUNT(R23:S23)=0,"",SUM(R23:S23))</f>
        <v/>
      </c>
      <c r="U23" s="54"/>
      <c r="V23" s="47" t="str">
        <f aca="false">IF(T23="","",IF(T22="","",T22+U23-T23))</f>
        <v/>
      </c>
      <c r="W23" s="46" t="str">
        <f aca="false">IF(T23="","",Settings!$C$7-T23)</f>
        <v/>
      </c>
      <c r="X23" s="46" t="str">
        <f aca="false">IF(T23="","",MAX(0,INT(W23/Settings!$C$8)))</f>
        <v/>
      </c>
      <c r="Y23" s="57" t="str">
        <f aca="false">IF(T23="","",IF(X23&gt;=2,"ROOM FOR "&amp;X23&amp;" TRUCKS",IF(X23=1,"ROOM FOR 1 TRUCK","")))</f>
        <v/>
      </c>
      <c r="Z23" s="54"/>
      <c r="AA23" s="54"/>
      <c r="AB23" s="54"/>
      <c r="AC23" s="47" t="str">
        <f aca="false">IF(COUNT(Z23:AA23)=0,"",SUM(Z23:AA23))</f>
        <v/>
      </c>
      <c r="AD23" s="47" t="str">
        <f aca="false">IF(AC23="","",IF(AC22="","",AC22+AB23-AC23))</f>
        <v/>
      </c>
      <c r="AE23" s="54"/>
      <c r="AF23" s="54"/>
      <c r="AG23" s="47" t="str">
        <f aca="false">IF(AE23="","",IF(AE22="","",AE22+AF23-AE23))</f>
        <v/>
      </c>
      <c r="AH23" s="58"/>
    </row>
    <row r="24" customFormat="false" ht="19.5" hidden="false" customHeight="true" outlineLevel="0" collapsed="false">
      <c r="A24" s="44"/>
      <c r="B24" s="51"/>
      <c r="C24" s="51"/>
      <c r="D24" s="51"/>
      <c r="E24" s="51"/>
      <c r="F24" s="51"/>
      <c r="G24" s="51"/>
      <c r="H24" s="51"/>
      <c r="I24" s="51"/>
      <c r="J24" s="52" t="str">
        <f aca="false">IF(B24="","",IFERROR(ROUND(VLOOKUP(INT(B24),'Tank Tables'!$A$5:$B$121,2,FALSE())+(B24-INT(B24))*(VLOOKUP(INT(B24)+1,'Tank Tables'!$A$5:$B$121,2,FALSE())-VLOOKUP(INT(B24),'Tank Tables'!$A$5:$B$121,2,FALSE())),0),IFERROR(ROUND(VLOOKUP(INT(B24),'Tank Tables'!$A$5:$B$121,2,FALSE()),0),"?")))</f>
        <v/>
      </c>
      <c r="K24" s="52" t="str">
        <f aca="false">IF(C24="","",IFERROR(ROUND(VLOOKUP(INT(C24),'Tank Tables'!$C$5:$D$130,2,FALSE())+(C24-INT(C24))*(VLOOKUP(INT(C24)+1,'Tank Tables'!$C$5:$D$130,2,FALSE())-VLOOKUP(INT(C24),'Tank Tables'!$C$5:$D$130,2,FALSE())),0),IFERROR(ROUND(VLOOKUP(INT(C24),'Tank Tables'!$C$5:$D$130,2,FALSE()),0),"?")))</f>
        <v/>
      </c>
      <c r="L24" s="52" t="str">
        <f aca="false">IF(D24="","",IFERROR(ROUND(VLOOKUP(INT(D24),'Tank Tables'!$E$5:$F$130,2,FALSE())+(D24-INT(D24))*(VLOOKUP(INT(D24)+1,'Tank Tables'!$E$5:$F$130,2,FALSE())-VLOOKUP(INT(D24),'Tank Tables'!$E$5:$F$130,2,FALSE())),0),IFERROR(ROUND(VLOOKUP(INT(D24),'Tank Tables'!$E$5:$F$130,2,FALSE()),0),"?")))</f>
        <v/>
      </c>
      <c r="M24" s="52" t="str">
        <f aca="false">IF(E24="","",IFERROR(ROUND(VLOOKUP(INT(E24),'Tank Tables'!$G$5:$H$130,2,FALSE())+(E24-INT(E24))*(VLOOKUP(INT(E24)+1,'Tank Tables'!$G$5:$H$130,2,FALSE())-VLOOKUP(INT(E24),'Tank Tables'!$G$5:$H$130,2,FALSE())),0),IFERROR(ROUND(VLOOKUP(INT(E24),'Tank Tables'!$G$5:$H$130,2,FALSE()),0),"?")))</f>
        <v/>
      </c>
      <c r="N24" s="52" t="str">
        <f aca="false">IF(F24="","",IFERROR(ROUND(VLOOKUP(INT(F24),'Tank Tables'!$A$5:$B$121,2,FALSE())+(F24-INT(F24))*(VLOOKUP(INT(F24)+1,'Tank Tables'!$A$5:$B$121,2,FALSE())-VLOOKUP(INT(F24),'Tank Tables'!$A$5:$B$121,2,FALSE())),0),IFERROR(ROUND(VLOOKUP(INT(F24),'Tank Tables'!$A$5:$B$121,2,FALSE()),0),"?")))</f>
        <v/>
      </c>
      <c r="O24" s="52" t="str">
        <f aca="false">IF(G24="","",IFERROR(ROUND(VLOOKUP(INT(G24),'Tank Tables'!$C$5:$D$130,2,FALSE())+(G24-INT(G24))*(VLOOKUP(INT(G24)+1,'Tank Tables'!$C$5:$D$130,2,FALSE())-VLOOKUP(INT(G24),'Tank Tables'!$C$5:$D$130,2,FALSE())),0),IFERROR(ROUND(VLOOKUP(INT(G24),'Tank Tables'!$C$5:$D$130,2,FALSE()),0),"?")))</f>
        <v/>
      </c>
      <c r="P24" s="52" t="str">
        <f aca="false">IF(H24="","",IFERROR(ROUND(VLOOKUP(INT(H24),'Tank Tables'!$E$5:$F$130,2,FALSE())+(H24-INT(H24))*(VLOOKUP(INT(H24)+1,'Tank Tables'!$E$5:$F$130,2,FALSE())-VLOOKUP(INT(H24),'Tank Tables'!$E$5:$F$130,2,FALSE())),0),IFERROR(ROUND(VLOOKUP(INT(H24),'Tank Tables'!$E$5:$F$130,2,FALSE()),0),"?")))</f>
        <v/>
      </c>
      <c r="Q24" s="52" t="str">
        <f aca="false">IF(I24="","",IFERROR(ROUND(VLOOKUP(INT(I24),'Tank Tables'!$G$5:$H$130,2,FALSE())+(I24-INT(I24))*(VLOOKUP(INT(I24)+1,'Tank Tables'!$G$5:$H$130,2,FALSE())-VLOOKUP(INT(I24),'Tank Tables'!$G$5:$H$130,2,FALSE())),0),IFERROR(ROUND(VLOOKUP(INT(I24),'Tank Tables'!$G$5:$H$130,2,FALSE()),0),"?")))</f>
        <v/>
      </c>
      <c r="R24" s="47" t="str">
        <f aca="false">IF(COUNT(J24:M24)=0,"",SUM(J24:M24))</f>
        <v/>
      </c>
      <c r="S24" s="47" t="str">
        <f aca="false">IF(COUNT(N24:Q24)=0,"",SUM(N24:Q24))</f>
        <v/>
      </c>
      <c r="T24" s="53" t="str">
        <f aca="false">IF(COUNT(R24:S24)=0,"",SUM(R24:S24))</f>
        <v/>
      </c>
      <c r="U24" s="54"/>
      <c r="V24" s="47" t="str">
        <f aca="false">IF(T24="","",IF(T23="","",T23+U24-T24))</f>
        <v/>
      </c>
      <c r="W24" s="52" t="str">
        <f aca="false">IF(T24="","",Settings!$C$7-T24)</f>
        <v/>
      </c>
      <c r="X24" s="52" t="str">
        <f aca="false">IF(T24="","",MAX(0,INT(W24/Settings!$C$8)))</f>
        <v/>
      </c>
      <c r="Y24" s="55" t="str">
        <f aca="false">IF(T24="","",IF(X24&gt;=2,"ROOM FOR "&amp;X24&amp;" TRUCKS",IF(X24=1,"ROOM FOR 1 TRUCK","")))</f>
        <v/>
      </c>
      <c r="Z24" s="54"/>
      <c r="AA24" s="54"/>
      <c r="AB24" s="54"/>
      <c r="AC24" s="47" t="str">
        <f aca="false">IF(COUNT(Z24:AA24)=0,"",SUM(Z24:AA24))</f>
        <v/>
      </c>
      <c r="AD24" s="47" t="str">
        <f aca="false">IF(AC24="","",IF(AC23="","",AC23+AB24-AC24))</f>
        <v/>
      </c>
      <c r="AE24" s="54"/>
      <c r="AF24" s="54"/>
      <c r="AG24" s="47" t="str">
        <f aca="false">IF(AE24="","",IF(AE23="","",AE23+AF24-AE24))</f>
        <v/>
      </c>
      <c r="AH24" s="59"/>
    </row>
    <row r="25" customFormat="false" ht="19.5" hidden="false" customHeight="true" outlineLevel="0" collapsed="false">
      <c r="A25" s="44"/>
      <c r="B25" s="51"/>
      <c r="C25" s="51"/>
      <c r="D25" s="51"/>
      <c r="E25" s="51"/>
      <c r="F25" s="51"/>
      <c r="G25" s="51"/>
      <c r="H25" s="51"/>
      <c r="I25" s="51"/>
      <c r="J25" s="46" t="str">
        <f aca="false">IF(B25="","",IFERROR(ROUND(VLOOKUP(INT(B25),'Tank Tables'!$A$5:$B$121,2,FALSE())+(B25-INT(B25))*(VLOOKUP(INT(B25)+1,'Tank Tables'!$A$5:$B$121,2,FALSE())-VLOOKUP(INT(B25),'Tank Tables'!$A$5:$B$121,2,FALSE())),0),IFERROR(ROUND(VLOOKUP(INT(B25),'Tank Tables'!$A$5:$B$121,2,FALSE()),0),"?")))</f>
        <v/>
      </c>
      <c r="K25" s="46" t="str">
        <f aca="false">IF(C25="","",IFERROR(ROUND(VLOOKUP(INT(C25),'Tank Tables'!$C$5:$D$130,2,FALSE())+(C25-INT(C25))*(VLOOKUP(INT(C25)+1,'Tank Tables'!$C$5:$D$130,2,FALSE())-VLOOKUP(INT(C25),'Tank Tables'!$C$5:$D$130,2,FALSE())),0),IFERROR(ROUND(VLOOKUP(INT(C25),'Tank Tables'!$C$5:$D$130,2,FALSE()),0),"?")))</f>
        <v/>
      </c>
      <c r="L25" s="46" t="str">
        <f aca="false">IF(D25="","",IFERROR(ROUND(VLOOKUP(INT(D25),'Tank Tables'!$E$5:$F$130,2,FALSE())+(D25-INT(D25))*(VLOOKUP(INT(D25)+1,'Tank Tables'!$E$5:$F$130,2,FALSE())-VLOOKUP(INT(D25),'Tank Tables'!$E$5:$F$130,2,FALSE())),0),IFERROR(ROUND(VLOOKUP(INT(D25),'Tank Tables'!$E$5:$F$130,2,FALSE()),0),"?")))</f>
        <v/>
      </c>
      <c r="M25" s="46" t="str">
        <f aca="false">IF(E25="","",IFERROR(ROUND(VLOOKUP(INT(E25),'Tank Tables'!$G$5:$H$130,2,FALSE())+(E25-INT(E25))*(VLOOKUP(INT(E25)+1,'Tank Tables'!$G$5:$H$130,2,FALSE())-VLOOKUP(INT(E25),'Tank Tables'!$G$5:$H$130,2,FALSE())),0),IFERROR(ROUND(VLOOKUP(INT(E25),'Tank Tables'!$G$5:$H$130,2,FALSE()),0),"?")))</f>
        <v/>
      </c>
      <c r="N25" s="46" t="str">
        <f aca="false">IF(F25="","",IFERROR(ROUND(VLOOKUP(INT(F25),'Tank Tables'!$A$5:$B$121,2,FALSE())+(F25-INT(F25))*(VLOOKUP(INT(F25)+1,'Tank Tables'!$A$5:$B$121,2,FALSE())-VLOOKUP(INT(F25),'Tank Tables'!$A$5:$B$121,2,FALSE())),0),IFERROR(ROUND(VLOOKUP(INT(F25),'Tank Tables'!$A$5:$B$121,2,FALSE()),0),"?")))</f>
        <v/>
      </c>
      <c r="O25" s="46" t="str">
        <f aca="false">IF(G25="","",IFERROR(ROUND(VLOOKUP(INT(G25),'Tank Tables'!$C$5:$D$130,2,FALSE())+(G25-INT(G25))*(VLOOKUP(INT(G25)+1,'Tank Tables'!$C$5:$D$130,2,FALSE())-VLOOKUP(INT(G25),'Tank Tables'!$C$5:$D$130,2,FALSE())),0),IFERROR(ROUND(VLOOKUP(INT(G25),'Tank Tables'!$C$5:$D$130,2,FALSE()),0),"?")))</f>
        <v/>
      </c>
      <c r="P25" s="46" t="str">
        <f aca="false">IF(H25="","",IFERROR(ROUND(VLOOKUP(INT(H25),'Tank Tables'!$E$5:$F$130,2,FALSE())+(H25-INT(H25))*(VLOOKUP(INT(H25)+1,'Tank Tables'!$E$5:$F$130,2,FALSE())-VLOOKUP(INT(H25),'Tank Tables'!$E$5:$F$130,2,FALSE())),0),IFERROR(ROUND(VLOOKUP(INT(H25),'Tank Tables'!$E$5:$F$130,2,FALSE()),0),"?")))</f>
        <v/>
      </c>
      <c r="Q25" s="46" t="str">
        <f aca="false">IF(I25="","",IFERROR(ROUND(VLOOKUP(INT(I25),'Tank Tables'!$G$5:$H$130,2,FALSE())+(I25-INT(I25))*(VLOOKUP(INT(I25)+1,'Tank Tables'!$G$5:$H$130,2,FALSE())-VLOOKUP(INT(I25),'Tank Tables'!$G$5:$H$130,2,FALSE())),0),IFERROR(ROUND(VLOOKUP(INT(I25),'Tank Tables'!$G$5:$H$130,2,FALSE()),0),"?")))</f>
        <v/>
      </c>
      <c r="R25" s="47" t="str">
        <f aca="false">IF(COUNT(J25:M25)=0,"",SUM(J25:M25))</f>
        <v/>
      </c>
      <c r="S25" s="47" t="str">
        <f aca="false">IF(COUNT(N25:Q25)=0,"",SUM(N25:Q25))</f>
        <v/>
      </c>
      <c r="T25" s="53" t="str">
        <f aca="false">IF(COUNT(R25:S25)=0,"",SUM(R25:S25))</f>
        <v/>
      </c>
      <c r="U25" s="54"/>
      <c r="V25" s="47" t="str">
        <f aca="false">IF(T25="","",IF(T24="","",T24+U25-T25))</f>
        <v/>
      </c>
      <c r="W25" s="46" t="str">
        <f aca="false">IF(T25="","",Settings!$C$7-T25)</f>
        <v/>
      </c>
      <c r="X25" s="46" t="str">
        <f aca="false">IF(T25="","",MAX(0,INT(W25/Settings!$C$8)))</f>
        <v/>
      </c>
      <c r="Y25" s="57" t="str">
        <f aca="false">IF(T25="","",IF(X25&gt;=2,"ROOM FOR "&amp;X25&amp;" TRUCKS",IF(X25=1,"ROOM FOR 1 TRUCK","")))</f>
        <v/>
      </c>
      <c r="Z25" s="54"/>
      <c r="AA25" s="54"/>
      <c r="AB25" s="54"/>
      <c r="AC25" s="47" t="str">
        <f aca="false">IF(COUNT(Z25:AA25)=0,"",SUM(Z25:AA25))</f>
        <v/>
      </c>
      <c r="AD25" s="47" t="str">
        <f aca="false">IF(AC25="","",IF(AC24="","",AC24+AB25-AC25))</f>
        <v/>
      </c>
      <c r="AE25" s="54"/>
      <c r="AF25" s="54"/>
      <c r="AG25" s="47" t="str">
        <f aca="false">IF(AE25="","",IF(AE24="","",AE24+AF25-AE25))</f>
        <v/>
      </c>
      <c r="AH25" s="58"/>
    </row>
    <row r="26" customFormat="false" ht="19.5" hidden="false" customHeight="true" outlineLevel="0" collapsed="false">
      <c r="A26" s="44"/>
      <c r="B26" s="51"/>
      <c r="C26" s="51"/>
      <c r="D26" s="51"/>
      <c r="E26" s="51"/>
      <c r="F26" s="51"/>
      <c r="G26" s="51"/>
      <c r="H26" s="51"/>
      <c r="I26" s="51"/>
      <c r="J26" s="52" t="str">
        <f aca="false">IF(B26="","",IFERROR(ROUND(VLOOKUP(INT(B26),'Tank Tables'!$A$5:$B$121,2,FALSE())+(B26-INT(B26))*(VLOOKUP(INT(B26)+1,'Tank Tables'!$A$5:$B$121,2,FALSE())-VLOOKUP(INT(B26),'Tank Tables'!$A$5:$B$121,2,FALSE())),0),IFERROR(ROUND(VLOOKUP(INT(B26),'Tank Tables'!$A$5:$B$121,2,FALSE()),0),"?")))</f>
        <v/>
      </c>
      <c r="K26" s="52" t="str">
        <f aca="false">IF(C26="","",IFERROR(ROUND(VLOOKUP(INT(C26),'Tank Tables'!$C$5:$D$130,2,FALSE())+(C26-INT(C26))*(VLOOKUP(INT(C26)+1,'Tank Tables'!$C$5:$D$130,2,FALSE())-VLOOKUP(INT(C26),'Tank Tables'!$C$5:$D$130,2,FALSE())),0),IFERROR(ROUND(VLOOKUP(INT(C26),'Tank Tables'!$C$5:$D$130,2,FALSE()),0),"?")))</f>
        <v/>
      </c>
      <c r="L26" s="52" t="str">
        <f aca="false">IF(D26="","",IFERROR(ROUND(VLOOKUP(INT(D26),'Tank Tables'!$E$5:$F$130,2,FALSE())+(D26-INT(D26))*(VLOOKUP(INT(D26)+1,'Tank Tables'!$E$5:$F$130,2,FALSE())-VLOOKUP(INT(D26),'Tank Tables'!$E$5:$F$130,2,FALSE())),0),IFERROR(ROUND(VLOOKUP(INT(D26),'Tank Tables'!$E$5:$F$130,2,FALSE()),0),"?")))</f>
        <v/>
      </c>
      <c r="M26" s="52" t="str">
        <f aca="false">IF(E26="","",IFERROR(ROUND(VLOOKUP(INT(E26),'Tank Tables'!$G$5:$H$130,2,FALSE())+(E26-INT(E26))*(VLOOKUP(INT(E26)+1,'Tank Tables'!$G$5:$H$130,2,FALSE())-VLOOKUP(INT(E26),'Tank Tables'!$G$5:$H$130,2,FALSE())),0),IFERROR(ROUND(VLOOKUP(INT(E26),'Tank Tables'!$G$5:$H$130,2,FALSE()),0),"?")))</f>
        <v/>
      </c>
      <c r="N26" s="52" t="str">
        <f aca="false">IF(F26="","",IFERROR(ROUND(VLOOKUP(INT(F26),'Tank Tables'!$A$5:$B$121,2,FALSE())+(F26-INT(F26))*(VLOOKUP(INT(F26)+1,'Tank Tables'!$A$5:$B$121,2,FALSE())-VLOOKUP(INT(F26),'Tank Tables'!$A$5:$B$121,2,FALSE())),0),IFERROR(ROUND(VLOOKUP(INT(F26),'Tank Tables'!$A$5:$B$121,2,FALSE()),0),"?")))</f>
        <v/>
      </c>
      <c r="O26" s="52" t="str">
        <f aca="false">IF(G26="","",IFERROR(ROUND(VLOOKUP(INT(G26),'Tank Tables'!$C$5:$D$130,2,FALSE())+(G26-INT(G26))*(VLOOKUP(INT(G26)+1,'Tank Tables'!$C$5:$D$130,2,FALSE())-VLOOKUP(INT(G26),'Tank Tables'!$C$5:$D$130,2,FALSE())),0),IFERROR(ROUND(VLOOKUP(INT(G26),'Tank Tables'!$C$5:$D$130,2,FALSE()),0),"?")))</f>
        <v/>
      </c>
      <c r="P26" s="52" t="str">
        <f aca="false">IF(H26="","",IFERROR(ROUND(VLOOKUP(INT(H26),'Tank Tables'!$E$5:$F$130,2,FALSE())+(H26-INT(H26))*(VLOOKUP(INT(H26)+1,'Tank Tables'!$E$5:$F$130,2,FALSE())-VLOOKUP(INT(H26),'Tank Tables'!$E$5:$F$130,2,FALSE())),0),IFERROR(ROUND(VLOOKUP(INT(H26),'Tank Tables'!$E$5:$F$130,2,FALSE()),0),"?")))</f>
        <v/>
      </c>
      <c r="Q26" s="52" t="str">
        <f aca="false">IF(I26="","",IFERROR(ROUND(VLOOKUP(INT(I26),'Tank Tables'!$G$5:$H$130,2,FALSE())+(I26-INT(I26))*(VLOOKUP(INT(I26)+1,'Tank Tables'!$G$5:$H$130,2,FALSE())-VLOOKUP(INT(I26),'Tank Tables'!$G$5:$H$130,2,FALSE())),0),IFERROR(ROUND(VLOOKUP(INT(I26),'Tank Tables'!$G$5:$H$130,2,FALSE()),0),"?")))</f>
        <v/>
      </c>
      <c r="R26" s="47" t="str">
        <f aca="false">IF(COUNT(J26:M26)=0,"",SUM(J26:M26))</f>
        <v/>
      </c>
      <c r="S26" s="47" t="str">
        <f aca="false">IF(COUNT(N26:Q26)=0,"",SUM(N26:Q26))</f>
        <v/>
      </c>
      <c r="T26" s="53" t="str">
        <f aca="false">IF(COUNT(R26:S26)=0,"",SUM(R26:S26))</f>
        <v/>
      </c>
      <c r="U26" s="54"/>
      <c r="V26" s="47" t="str">
        <f aca="false">IF(T26="","",IF(T25="","",T25+U26-T26))</f>
        <v/>
      </c>
      <c r="W26" s="52" t="str">
        <f aca="false">IF(T26="","",Settings!$C$7-T26)</f>
        <v/>
      </c>
      <c r="X26" s="52" t="str">
        <f aca="false">IF(T26="","",MAX(0,INT(W26/Settings!$C$8)))</f>
        <v/>
      </c>
      <c r="Y26" s="55" t="str">
        <f aca="false">IF(T26="","",IF(X26&gt;=2,"ROOM FOR "&amp;X26&amp;" TRUCKS",IF(X26=1,"ROOM FOR 1 TRUCK","")))</f>
        <v/>
      </c>
      <c r="Z26" s="54"/>
      <c r="AA26" s="54"/>
      <c r="AB26" s="54"/>
      <c r="AC26" s="47" t="str">
        <f aca="false">IF(COUNT(Z26:AA26)=0,"",SUM(Z26:AA26))</f>
        <v/>
      </c>
      <c r="AD26" s="47" t="str">
        <f aca="false">IF(AC26="","",IF(AC25="","",AC25+AB26-AC26))</f>
        <v/>
      </c>
      <c r="AE26" s="54"/>
      <c r="AF26" s="54"/>
      <c r="AG26" s="47" t="str">
        <f aca="false">IF(AE26="","",IF(AE25="","",AE25+AF26-AE26))</f>
        <v/>
      </c>
      <c r="AH26" s="59"/>
    </row>
    <row r="27" customFormat="false" ht="19.5" hidden="false" customHeight="true" outlineLevel="0" collapsed="false">
      <c r="A27" s="44"/>
      <c r="B27" s="51"/>
      <c r="C27" s="51"/>
      <c r="D27" s="51"/>
      <c r="E27" s="51"/>
      <c r="F27" s="51"/>
      <c r="G27" s="51"/>
      <c r="H27" s="51"/>
      <c r="I27" s="51"/>
      <c r="J27" s="46" t="str">
        <f aca="false">IF(B27="","",IFERROR(ROUND(VLOOKUP(INT(B27),'Tank Tables'!$A$5:$B$121,2,FALSE())+(B27-INT(B27))*(VLOOKUP(INT(B27)+1,'Tank Tables'!$A$5:$B$121,2,FALSE())-VLOOKUP(INT(B27),'Tank Tables'!$A$5:$B$121,2,FALSE())),0),IFERROR(ROUND(VLOOKUP(INT(B27),'Tank Tables'!$A$5:$B$121,2,FALSE()),0),"?")))</f>
        <v/>
      </c>
      <c r="K27" s="46" t="str">
        <f aca="false">IF(C27="","",IFERROR(ROUND(VLOOKUP(INT(C27),'Tank Tables'!$C$5:$D$130,2,FALSE())+(C27-INT(C27))*(VLOOKUP(INT(C27)+1,'Tank Tables'!$C$5:$D$130,2,FALSE())-VLOOKUP(INT(C27),'Tank Tables'!$C$5:$D$130,2,FALSE())),0),IFERROR(ROUND(VLOOKUP(INT(C27),'Tank Tables'!$C$5:$D$130,2,FALSE()),0),"?")))</f>
        <v/>
      </c>
      <c r="L27" s="46" t="str">
        <f aca="false">IF(D27="","",IFERROR(ROUND(VLOOKUP(INT(D27),'Tank Tables'!$E$5:$F$130,2,FALSE())+(D27-INT(D27))*(VLOOKUP(INT(D27)+1,'Tank Tables'!$E$5:$F$130,2,FALSE())-VLOOKUP(INT(D27),'Tank Tables'!$E$5:$F$130,2,FALSE())),0),IFERROR(ROUND(VLOOKUP(INT(D27),'Tank Tables'!$E$5:$F$130,2,FALSE()),0),"?")))</f>
        <v/>
      </c>
      <c r="M27" s="46" t="str">
        <f aca="false">IF(E27="","",IFERROR(ROUND(VLOOKUP(INT(E27),'Tank Tables'!$G$5:$H$130,2,FALSE())+(E27-INT(E27))*(VLOOKUP(INT(E27)+1,'Tank Tables'!$G$5:$H$130,2,FALSE())-VLOOKUP(INT(E27),'Tank Tables'!$G$5:$H$130,2,FALSE())),0),IFERROR(ROUND(VLOOKUP(INT(E27),'Tank Tables'!$G$5:$H$130,2,FALSE()),0),"?")))</f>
        <v/>
      </c>
      <c r="N27" s="46" t="str">
        <f aca="false">IF(F27="","",IFERROR(ROUND(VLOOKUP(INT(F27),'Tank Tables'!$A$5:$B$121,2,FALSE())+(F27-INT(F27))*(VLOOKUP(INT(F27)+1,'Tank Tables'!$A$5:$B$121,2,FALSE())-VLOOKUP(INT(F27),'Tank Tables'!$A$5:$B$121,2,FALSE())),0),IFERROR(ROUND(VLOOKUP(INT(F27),'Tank Tables'!$A$5:$B$121,2,FALSE()),0),"?")))</f>
        <v/>
      </c>
      <c r="O27" s="46" t="str">
        <f aca="false">IF(G27="","",IFERROR(ROUND(VLOOKUP(INT(G27),'Tank Tables'!$C$5:$D$130,2,FALSE())+(G27-INT(G27))*(VLOOKUP(INT(G27)+1,'Tank Tables'!$C$5:$D$130,2,FALSE())-VLOOKUP(INT(G27),'Tank Tables'!$C$5:$D$130,2,FALSE())),0),IFERROR(ROUND(VLOOKUP(INT(G27),'Tank Tables'!$C$5:$D$130,2,FALSE()),0),"?")))</f>
        <v/>
      </c>
      <c r="P27" s="46" t="str">
        <f aca="false">IF(H27="","",IFERROR(ROUND(VLOOKUP(INT(H27),'Tank Tables'!$E$5:$F$130,2,FALSE())+(H27-INT(H27))*(VLOOKUP(INT(H27)+1,'Tank Tables'!$E$5:$F$130,2,FALSE())-VLOOKUP(INT(H27),'Tank Tables'!$E$5:$F$130,2,FALSE())),0),IFERROR(ROUND(VLOOKUP(INT(H27),'Tank Tables'!$E$5:$F$130,2,FALSE()),0),"?")))</f>
        <v/>
      </c>
      <c r="Q27" s="46" t="str">
        <f aca="false">IF(I27="","",IFERROR(ROUND(VLOOKUP(INT(I27),'Tank Tables'!$G$5:$H$130,2,FALSE())+(I27-INT(I27))*(VLOOKUP(INT(I27)+1,'Tank Tables'!$G$5:$H$130,2,FALSE())-VLOOKUP(INT(I27),'Tank Tables'!$G$5:$H$130,2,FALSE())),0),IFERROR(ROUND(VLOOKUP(INT(I27),'Tank Tables'!$G$5:$H$130,2,FALSE()),0),"?")))</f>
        <v/>
      </c>
      <c r="R27" s="47" t="str">
        <f aca="false">IF(COUNT(J27:M27)=0,"",SUM(J27:M27))</f>
        <v/>
      </c>
      <c r="S27" s="47" t="str">
        <f aca="false">IF(COUNT(N27:Q27)=0,"",SUM(N27:Q27))</f>
        <v/>
      </c>
      <c r="T27" s="53" t="str">
        <f aca="false">IF(COUNT(R27:S27)=0,"",SUM(R27:S27))</f>
        <v/>
      </c>
      <c r="U27" s="54"/>
      <c r="V27" s="47" t="str">
        <f aca="false">IF(T27="","",IF(T26="","",T26+U27-T27))</f>
        <v/>
      </c>
      <c r="W27" s="46" t="str">
        <f aca="false">IF(T27="","",Settings!$C$7-T27)</f>
        <v/>
      </c>
      <c r="X27" s="46" t="str">
        <f aca="false">IF(T27="","",MAX(0,INT(W27/Settings!$C$8)))</f>
        <v/>
      </c>
      <c r="Y27" s="57" t="str">
        <f aca="false">IF(T27="","",IF(X27&gt;=2,"ROOM FOR "&amp;X27&amp;" TRUCKS",IF(X27=1,"ROOM FOR 1 TRUCK","")))</f>
        <v/>
      </c>
      <c r="Z27" s="54"/>
      <c r="AA27" s="54"/>
      <c r="AB27" s="54"/>
      <c r="AC27" s="47" t="str">
        <f aca="false">IF(COUNT(Z27:AA27)=0,"",SUM(Z27:AA27))</f>
        <v/>
      </c>
      <c r="AD27" s="47" t="str">
        <f aca="false">IF(AC27="","",IF(AC26="","",AC26+AB27-AC27))</f>
        <v/>
      </c>
      <c r="AE27" s="54"/>
      <c r="AF27" s="54"/>
      <c r="AG27" s="47" t="str">
        <f aca="false">IF(AE27="","",IF(AE26="","",AE26+AF27-AE27))</f>
        <v/>
      </c>
      <c r="AH27" s="58"/>
    </row>
    <row r="28" customFormat="false" ht="19.5" hidden="false" customHeight="true" outlineLevel="0" collapsed="false">
      <c r="A28" s="44"/>
      <c r="B28" s="51"/>
      <c r="C28" s="51"/>
      <c r="D28" s="51"/>
      <c r="E28" s="51"/>
      <c r="F28" s="51"/>
      <c r="G28" s="51"/>
      <c r="H28" s="51"/>
      <c r="I28" s="51"/>
      <c r="J28" s="52" t="str">
        <f aca="false">IF(B28="","",IFERROR(ROUND(VLOOKUP(INT(B28),'Tank Tables'!$A$5:$B$121,2,FALSE())+(B28-INT(B28))*(VLOOKUP(INT(B28)+1,'Tank Tables'!$A$5:$B$121,2,FALSE())-VLOOKUP(INT(B28),'Tank Tables'!$A$5:$B$121,2,FALSE())),0),IFERROR(ROUND(VLOOKUP(INT(B28),'Tank Tables'!$A$5:$B$121,2,FALSE()),0),"?")))</f>
        <v/>
      </c>
      <c r="K28" s="52" t="str">
        <f aca="false">IF(C28="","",IFERROR(ROUND(VLOOKUP(INT(C28),'Tank Tables'!$C$5:$D$130,2,FALSE())+(C28-INT(C28))*(VLOOKUP(INT(C28)+1,'Tank Tables'!$C$5:$D$130,2,FALSE())-VLOOKUP(INT(C28),'Tank Tables'!$C$5:$D$130,2,FALSE())),0),IFERROR(ROUND(VLOOKUP(INT(C28),'Tank Tables'!$C$5:$D$130,2,FALSE()),0),"?")))</f>
        <v/>
      </c>
      <c r="L28" s="52" t="str">
        <f aca="false">IF(D28="","",IFERROR(ROUND(VLOOKUP(INT(D28),'Tank Tables'!$E$5:$F$130,2,FALSE())+(D28-INT(D28))*(VLOOKUP(INT(D28)+1,'Tank Tables'!$E$5:$F$130,2,FALSE())-VLOOKUP(INT(D28),'Tank Tables'!$E$5:$F$130,2,FALSE())),0),IFERROR(ROUND(VLOOKUP(INT(D28),'Tank Tables'!$E$5:$F$130,2,FALSE()),0),"?")))</f>
        <v/>
      </c>
      <c r="M28" s="52" t="str">
        <f aca="false">IF(E28="","",IFERROR(ROUND(VLOOKUP(INT(E28),'Tank Tables'!$G$5:$H$130,2,FALSE())+(E28-INT(E28))*(VLOOKUP(INT(E28)+1,'Tank Tables'!$G$5:$H$130,2,FALSE())-VLOOKUP(INT(E28),'Tank Tables'!$G$5:$H$130,2,FALSE())),0),IFERROR(ROUND(VLOOKUP(INT(E28),'Tank Tables'!$G$5:$H$130,2,FALSE()),0),"?")))</f>
        <v/>
      </c>
      <c r="N28" s="52" t="str">
        <f aca="false">IF(F28="","",IFERROR(ROUND(VLOOKUP(INT(F28),'Tank Tables'!$A$5:$B$121,2,FALSE())+(F28-INT(F28))*(VLOOKUP(INT(F28)+1,'Tank Tables'!$A$5:$B$121,2,FALSE())-VLOOKUP(INT(F28),'Tank Tables'!$A$5:$B$121,2,FALSE())),0),IFERROR(ROUND(VLOOKUP(INT(F28),'Tank Tables'!$A$5:$B$121,2,FALSE()),0),"?")))</f>
        <v/>
      </c>
      <c r="O28" s="52" t="str">
        <f aca="false">IF(G28="","",IFERROR(ROUND(VLOOKUP(INT(G28),'Tank Tables'!$C$5:$D$130,2,FALSE())+(G28-INT(G28))*(VLOOKUP(INT(G28)+1,'Tank Tables'!$C$5:$D$130,2,FALSE())-VLOOKUP(INT(G28),'Tank Tables'!$C$5:$D$130,2,FALSE())),0),IFERROR(ROUND(VLOOKUP(INT(G28),'Tank Tables'!$C$5:$D$130,2,FALSE()),0),"?")))</f>
        <v/>
      </c>
      <c r="P28" s="52" t="str">
        <f aca="false">IF(H28="","",IFERROR(ROUND(VLOOKUP(INT(H28),'Tank Tables'!$E$5:$F$130,2,FALSE())+(H28-INT(H28))*(VLOOKUP(INT(H28)+1,'Tank Tables'!$E$5:$F$130,2,FALSE())-VLOOKUP(INT(H28),'Tank Tables'!$E$5:$F$130,2,FALSE())),0),IFERROR(ROUND(VLOOKUP(INT(H28),'Tank Tables'!$E$5:$F$130,2,FALSE()),0),"?")))</f>
        <v/>
      </c>
      <c r="Q28" s="52" t="str">
        <f aca="false">IF(I28="","",IFERROR(ROUND(VLOOKUP(INT(I28),'Tank Tables'!$G$5:$H$130,2,FALSE())+(I28-INT(I28))*(VLOOKUP(INT(I28)+1,'Tank Tables'!$G$5:$H$130,2,FALSE())-VLOOKUP(INT(I28),'Tank Tables'!$G$5:$H$130,2,FALSE())),0),IFERROR(ROUND(VLOOKUP(INT(I28),'Tank Tables'!$G$5:$H$130,2,FALSE()),0),"?")))</f>
        <v/>
      </c>
      <c r="R28" s="47" t="str">
        <f aca="false">IF(COUNT(J28:M28)=0,"",SUM(J28:M28))</f>
        <v/>
      </c>
      <c r="S28" s="47" t="str">
        <f aca="false">IF(COUNT(N28:Q28)=0,"",SUM(N28:Q28))</f>
        <v/>
      </c>
      <c r="T28" s="53" t="str">
        <f aca="false">IF(COUNT(R28:S28)=0,"",SUM(R28:S28))</f>
        <v/>
      </c>
      <c r="U28" s="54"/>
      <c r="V28" s="47" t="str">
        <f aca="false">IF(T28="","",IF(T27="","",T27+U28-T28))</f>
        <v/>
      </c>
      <c r="W28" s="52" t="str">
        <f aca="false">IF(T28="","",Settings!$C$7-T28)</f>
        <v/>
      </c>
      <c r="X28" s="52" t="str">
        <f aca="false">IF(T28="","",MAX(0,INT(W28/Settings!$C$8)))</f>
        <v/>
      </c>
      <c r="Y28" s="55" t="str">
        <f aca="false">IF(T28="","",IF(X28&gt;=2,"ROOM FOR "&amp;X28&amp;" TRUCKS",IF(X28=1,"ROOM FOR 1 TRUCK","")))</f>
        <v/>
      </c>
      <c r="Z28" s="54"/>
      <c r="AA28" s="54"/>
      <c r="AB28" s="54"/>
      <c r="AC28" s="47" t="str">
        <f aca="false">IF(COUNT(Z28:AA28)=0,"",SUM(Z28:AA28))</f>
        <v/>
      </c>
      <c r="AD28" s="47" t="str">
        <f aca="false">IF(AC28="","",IF(AC27="","",AC27+AB28-AC28))</f>
        <v/>
      </c>
      <c r="AE28" s="54"/>
      <c r="AF28" s="54"/>
      <c r="AG28" s="47" t="str">
        <f aca="false">IF(AE28="","",IF(AE27="","",AE27+AF28-AE28))</f>
        <v/>
      </c>
      <c r="AH28" s="59"/>
    </row>
    <row r="29" customFormat="false" ht="19.5" hidden="false" customHeight="true" outlineLevel="0" collapsed="false">
      <c r="A29" s="44"/>
      <c r="B29" s="51"/>
      <c r="C29" s="51"/>
      <c r="D29" s="51"/>
      <c r="E29" s="51"/>
      <c r="F29" s="51"/>
      <c r="G29" s="51"/>
      <c r="H29" s="51"/>
      <c r="I29" s="51"/>
      <c r="J29" s="46" t="str">
        <f aca="false">IF(B29="","",IFERROR(ROUND(VLOOKUP(INT(B29),'Tank Tables'!$A$5:$B$121,2,FALSE())+(B29-INT(B29))*(VLOOKUP(INT(B29)+1,'Tank Tables'!$A$5:$B$121,2,FALSE())-VLOOKUP(INT(B29),'Tank Tables'!$A$5:$B$121,2,FALSE())),0),IFERROR(ROUND(VLOOKUP(INT(B29),'Tank Tables'!$A$5:$B$121,2,FALSE()),0),"?")))</f>
        <v/>
      </c>
      <c r="K29" s="46" t="str">
        <f aca="false">IF(C29="","",IFERROR(ROUND(VLOOKUP(INT(C29),'Tank Tables'!$C$5:$D$130,2,FALSE())+(C29-INT(C29))*(VLOOKUP(INT(C29)+1,'Tank Tables'!$C$5:$D$130,2,FALSE())-VLOOKUP(INT(C29),'Tank Tables'!$C$5:$D$130,2,FALSE())),0),IFERROR(ROUND(VLOOKUP(INT(C29),'Tank Tables'!$C$5:$D$130,2,FALSE()),0),"?")))</f>
        <v/>
      </c>
      <c r="L29" s="46" t="str">
        <f aca="false">IF(D29="","",IFERROR(ROUND(VLOOKUP(INT(D29),'Tank Tables'!$E$5:$F$130,2,FALSE())+(D29-INT(D29))*(VLOOKUP(INT(D29)+1,'Tank Tables'!$E$5:$F$130,2,FALSE())-VLOOKUP(INT(D29),'Tank Tables'!$E$5:$F$130,2,FALSE())),0),IFERROR(ROUND(VLOOKUP(INT(D29),'Tank Tables'!$E$5:$F$130,2,FALSE()),0),"?")))</f>
        <v/>
      </c>
      <c r="M29" s="46" t="str">
        <f aca="false">IF(E29="","",IFERROR(ROUND(VLOOKUP(INT(E29),'Tank Tables'!$G$5:$H$130,2,FALSE())+(E29-INT(E29))*(VLOOKUP(INT(E29)+1,'Tank Tables'!$G$5:$H$130,2,FALSE())-VLOOKUP(INT(E29),'Tank Tables'!$G$5:$H$130,2,FALSE())),0),IFERROR(ROUND(VLOOKUP(INT(E29),'Tank Tables'!$G$5:$H$130,2,FALSE()),0),"?")))</f>
        <v/>
      </c>
      <c r="N29" s="46" t="str">
        <f aca="false">IF(F29="","",IFERROR(ROUND(VLOOKUP(INT(F29),'Tank Tables'!$A$5:$B$121,2,FALSE())+(F29-INT(F29))*(VLOOKUP(INT(F29)+1,'Tank Tables'!$A$5:$B$121,2,FALSE())-VLOOKUP(INT(F29),'Tank Tables'!$A$5:$B$121,2,FALSE())),0),IFERROR(ROUND(VLOOKUP(INT(F29),'Tank Tables'!$A$5:$B$121,2,FALSE()),0),"?")))</f>
        <v/>
      </c>
      <c r="O29" s="46" t="str">
        <f aca="false">IF(G29="","",IFERROR(ROUND(VLOOKUP(INT(G29),'Tank Tables'!$C$5:$D$130,2,FALSE())+(G29-INT(G29))*(VLOOKUP(INT(G29)+1,'Tank Tables'!$C$5:$D$130,2,FALSE())-VLOOKUP(INT(G29),'Tank Tables'!$C$5:$D$130,2,FALSE())),0),IFERROR(ROUND(VLOOKUP(INT(G29),'Tank Tables'!$C$5:$D$130,2,FALSE()),0),"?")))</f>
        <v/>
      </c>
      <c r="P29" s="46" t="str">
        <f aca="false">IF(H29="","",IFERROR(ROUND(VLOOKUP(INT(H29),'Tank Tables'!$E$5:$F$130,2,FALSE())+(H29-INT(H29))*(VLOOKUP(INT(H29)+1,'Tank Tables'!$E$5:$F$130,2,FALSE())-VLOOKUP(INT(H29),'Tank Tables'!$E$5:$F$130,2,FALSE())),0),IFERROR(ROUND(VLOOKUP(INT(H29),'Tank Tables'!$E$5:$F$130,2,FALSE()),0),"?")))</f>
        <v/>
      </c>
      <c r="Q29" s="46" t="str">
        <f aca="false">IF(I29="","",IFERROR(ROUND(VLOOKUP(INT(I29),'Tank Tables'!$G$5:$H$130,2,FALSE())+(I29-INT(I29))*(VLOOKUP(INT(I29)+1,'Tank Tables'!$G$5:$H$130,2,FALSE())-VLOOKUP(INT(I29),'Tank Tables'!$G$5:$H$130,2,FALSE())),0),IFERROR(ROUND(VLOOKUP(INT(I29),'Tank Tables'!$G$5:$H$130,2,FALSE()),0),"?")))</f>
        <v/>
      </c>
      <c r="R29" s="47" t="str">
        <f aca="false">IF(COUNT(J29:M29)=0,"",SUM(J29:M29))</f>
        <v/>
      </c>
      <c r="S29" s="47" t="str">
        <f aca="false">IF(COUNT(N29:Q29)=0,"",SUM(N29:Q29))</f>
        <v/>
      </c>
      <c r="T29" s="53" t="str">
        <f aca="false">IF(COUNT(R29:S29)=0,"",SUM(R29:S29))</f>
        <v/>
      </c>
      <c r="U29" s="54"/>
      <c r="V29" s="47" t="str">
        <f aca="false">IF(T29="","",IF(T28="","",T28+U29-T29))</f>
        <v/>
      </c>
      <c r="W29" s="46" t="str">
        <f aca="false">IF(T29="","",Settings!$C$7-T29)</f>
        <v/>
      </c>
      <c r="X29" s="46" t="str">
        <f aca="false">IF(T29="","",MAX(0,INT(W29/Settings!$C$8)))</f>
        <v/>
      </c>
      <c r="Y29" s="57" t="str">
        <f aca="false">IF(T29="","",IF(X29&gt;=2,"ROOM FOR "&amp;X29&amp;" TRUCKS",IF(X29=1,"ROOM FOR 1 TRUCK","")))</f>
        <v/>
      </c>
      <c r="Z29" s="54"/>
      <c r="AA29" s="54"/>
      <c r="AB29" s="54"/>
      <c r="AC29" s="47" t="str">
        <f aca="false">IF(COUNT(Z29:AA29)=0,"",SUM(Z29:AA29))</f>
        <v/>
      </c>
      <c r="AD29" s="47" t="str">
        <f aca="false">IF(AC29="","",IF(AC28="","",AC28+AB29-AC29))</f>
        <v/>
      </c>
      <c r="AE29" s="54"/>
      <c r="AF29" s="54"/>
      <c r="AG29" s="47" t="str">
        <f aca="false">IF(AE29="","",IF(AE28="","",AE28+AF29-AE29))</f>
        <v/>
      </c>
      <c r="AH29" s="58"/>
    </row>
    <row r="30" customFormat="false" ht="19.5" hidden="false" customHeight="true" outlineLevel="0" collapsed="false">
      <c r="A30" s="44"/>
      <c r="B30" s="51"/>
      <c r="C30" s="51"/>
      <c r="D30" s="51"/>
      <c r="E30" s="51"/>
      <c r="F30" s="51"/>
      <c r="G30" s="51"/>
      <c r="H30" s="51"/>
      <c r="I30" s="51"/>
      <c r="J30" s="52" t="str">
        <f aca="false">IF(B30="","",IFERROR(ROUND(VLOOKUP(INT(B30),'Tank Tables'!$A$5:$B$121,2,FALSE())+(B30-INT(B30))*(VLOOKUP(INT(B30)+1,'Tank Tables'!$A$5:$B$121,2,FALSE())-VLOOKUP(INT(B30),'Tank Tables'!$A$5:$B$121,2,FALSE())),0),IFERROR(ROUND(VLOOKUP(INT(B30),'Tank Tables'!$A$5:$B$121,2,FALSE()),0),"?")))</f>
        <v/>
      </c>
      <c r="K30" s="52" t="str">
        <f aca="false">IF(C30="","",IFERROR(ROUND(VLOOKUP(INT(C30),'Tank Tables'!$C$5:$D$130,2,FALSE())+(C30-INT(C30))*(VLOOKUP(INT(C30)+1,'Tank Tables'!$C$5:$D$130,2,FALSE())-VLOOKUP(INT(C30),'Tank Tables'!$C$5:$D$130,2,FALSE())),0),IFERROR(ROUND(VLOOKUP(INT(C30),'Tank Tables'!$C$5:$D$130,2,FALSE()),0),"?")))</f>
        <v/>
      </c>
      <c r="L30" s="52" t="str">
        <f aca="false">IF(D30="","",IFERROR(ROUND(VLOOKUP(INT(D30),'Tank Tables'!$E$5:$F$130,2,FALSE())+(D30-INT(D30))*(VLOOKUP(INT(D30)+1,'Tank Tables'!$E$5:$F$130,2,FALSE())-VLOOKUP(INT(D30),'Tank Tables'!$E$5:$F$130,2,FALSE())),0),IFERROR(ROUND(VLOOKUP(INT(D30),'Tank Tables'!$E$5:$F$130,2,FALSE()),0),"?")))</f>
        <v/>
      </c>
      <c r="M30" s="52" t="str">
        <f aca="false">IF(E30="","",IFERROR(ROUND(VLOOKUP(INT(E30),'Tank Tables'!$G$5:$H$130,2,FALSE())+(E30-INT(E30))*(VLOOKUP(INT(E30)+1,'Tank Tables'!$G$5:$H$130,2,FALSE())-VLOOKUP(INT(E30),'Tank Tables'!$G$5:$H$130,2,FALSE())),0),IFERROR(ROUND(VLOOKUP(INT(E30),'Tank Tables'!$G$5:$H$130,2,FALSE()),0),"?")))</f>
        <v/>
      </c>
      <c r="N30" s="52" t="str">
        <f aca="false">IF(F30="","",IFERROR(ROUND(VLOOKUP(INT(F30),'Tank Tables'!$A$5:$B$121,2,FALSE())+(F30-INT(F30))*(VLOOKUP(INT(F30)+1,'Tank Tables'!$A$5:$B$121,2,FALSE())-VLOOKUP(INT(F30),'Tank Tables'!$A$5:$B$121,2,FALSE())),0),IFERROR(ROUND(VLOOKUP(INT(F30),'Tank Tables'!$A$5:$B$121,2,FALSE()),0),"?")))</f>
        <v/>
      </c>
      <c r="O30" s="52" t="str">
        <f aca="false">IF(G30="","",IFERROR(ROUND(VLOOKUP(INT(G30),'Tank Tables'!$C$5:$D$130,2,FALSE())+(G30-INT(G30))*(VLOOKUP(INT(G30)+1,'Tank Tables'!$C$5:$D$130,2,FALSE())-VLOOKUP(INT(G30),'Tank Tables'!$C$5:$D$130,2,FALSE())),0),IFERROR(ROUND(VLOOKUP(INT(G30),'Tank Tables'!$C$5:$D$130,2,FALSE()),0),"?")))</f>
        <v/>
      </c>
      <c r="P30" s="52" t="str">
        <f aca="false">IF(H30="","",IFERROR(ROUND(VLOOKUP(INT(H30),'Tank Tables'!$E$5:$F$130,2,FALSE())+(H30-INT(H30))*(VLOOKUP(INT(H30)+1,'Tank Tables'!$E$5:$F$130,2,FALSE())-VLOOKUP(INT(H30),'Tank Tables'!$E$5:$F$130,2,FALSE())),0),IFERROR(ROUND(VLOOKUP(INT(H30),'Tank Tables'!$E$5:$F$130,2,FALSE()),0),"?")))</f>
        <v/>
      </c>
      <c r="Q30" s="52" t="str">
        <f aca="false">IF(I30="","",IFERROR(ROUND(VLOOKUP(INT(I30),'Tank Tables'!$G$5:$H$130,2,FALSE())+(I30-INT(I30))*(VLOOKUP(INT(I30)+1,'Tank Tables'!$G$5:$H$130,2,FALSE())-VLOOKUP(INT(I30),'Tank Tables'!$G$5:$H$130,2,FALSE())),0),IFERROR(ROUND(VLOOKUP(INT(I30),'Tank Tables'!$G$5:$H$130,2,FALSE()),0),"?")))</f>
        <v/>
      </c>
      <c r="R30" s="47" t="str">
        <f aca="false">IF(COUNT(J30:M30)=0,"",SUM(J30:M30))</f>
        <v/>
      </c>
      <c r="S30" s="47" t="str">
        <f aca="false">IF(COUNT(N30:Q30)=0,"",SUM(N30:Q30))</f>
        <v/>
      </c>
      <c r="T30" s="53" t="str">
        <f aca="false">IF(COUNT(R30:S30)=0,"",SUM(R30:S30))</f>
        <v/>
      </c>
      <c r="U30" s="54"/>
      <c r="V30" s="47" t="str">
        <f aca="false">IF(T30="","",IF(T29="","",T29+U30-T30))</f>
        <v/>
      </c>
      <c r="W30" s="52" t="str">
        <f aca="false">IF(T30="","",Settings!$C$7-T30)</f>
        <v/>
      </c>
      <c r="X30" s="52" t="str">
        <f aca="false">IF(T30="","",MAX(0,INT(W30/Settings!$C$8)))</f>
        <v/>
      </c>
      <c r="Y30" s="55" t="str">
        <f aca="false">IF(T30="","",IF(X30&gt;=2,"ROOM FOR "&amp;X30&amp;" TRUCKS",IF(X30=1,"ROOM FOR 1 TRUCK","")))</f>
        <v/>
      </c>
      <c r="Z30" s="54"/>
      <c r="AA30" s="54"/>
      <c r="AB30" s="54"/>
      <c r="AC30" s="47" t="str">
        <f aca="false">IF(COUNT(Z30:AA30)=0,"",SUM(Z30:AA30))</f>
        <v/>
      </c>
      <c r="AD30" s="47" t="str">
        <f aca="false">IF(AC30="","",IF(AC29="","",AC29+AB30-AC30))</f>
        <v/>
      </c>
      <c r="AE30" s="54"/>
      <c r="AF30" s="54"/>
      <c r="AG30" s="47" t="str">
        <f aca="false">IF(AE30="","",IF(AE29="","",AE29+AF30-AE30))</f>
        <v/>
      </c>
      <c r="AH30" s="59"/>
    </row>
    <row r="31" customFormat="false" ht="19.5" hidden="false" customHeight="true" outlineLevel="0" collapsed="false">
      <c r="A31" s="44"/>
      <c r="B31" s="51"/>
      <c r="C31" s="51"/>
      <c r="D31" s="51"/>
      <c r="E31" s="51"/>
      <c r="F31" s="51"/>
      <c r="G31" s="51"/>
      <c r="H31" s="51"/>
      <c r="I31" s="51"/>
      <c r="J31" s="46" t="str">
        <f aca="false">IF(B31="","",IFERROR(ROUND(VLOOKUP(INT(B31),'Tank Tables'!$A$5:$B$121,2,FALSE())+(B31-INT(B31))*(VLOOKUP(INT(B31)+1,'Tank Tables'!$A$5:$B$121,2,FALSE())-VLOOKUP(INT(B31),'Tank Tables'!$A$5:$B$121,2,FALSE())),0),IFERROR(ROUND(VLOOKUP(INT(B31),'Tank Tables'!$A$5:$B$121,2,FALSE()),0),"?")))</f>
        <v/>
      </c>
      <c r="K31" s="46" t="str">
        <f aca="false">IF(C31="","",IFERROR(ROUND(VLOOKUP(INT(C31),'Tank Tables'!$C$5:$D$130,2,FALSE())+(C31-INT(C31))*(VLOOKUP(INT(C31)+1,'Tank Tables'!$C$5:$D$130,2,FALSE())-VLOOKUP(INT(C31),'Tank Tables'!$C$5:$D$130,2,FALSE())),0),IFERROR(ROUND(VLOOKUP(INT(C31),'Tank Tables'!$C$5:$D$130,2,FALSE()),0),"?")))</f>
        <v/>
      </c>
      <c r="L31" s="46" t="str">
        <f aca="false">IF(D31="","",IFERROR(ROUND(VLOOKUP(INT(D31),'Tank Tables'!$E$5:$F$130,2,FALSE())+(D31-INT(D31))*(VLOOKUP(INT(D31)+1,'Tank Tables'!$E$5:$F$130,2,FALSE())-VLOOKUP(INT(D31),'Tank Tables'!$E$5:$F$130,2,FALSE())),0),IFERROR(ROUND(VLOOKUP(INT(D31),'Tank Tables'!$E$5:$F$130,2,FALSE()),0),"?")))</f>
        <v/>
      </c>
      <c r="M31" s="46" t="str">
        <f aca="false">IF(E31="","",IFERROR(ROUND(VLOOKUP(INT(E31),'Tank Tables'!$G$5:$H$130,2,FALSE())+(E31-INT(E31))*(VLOOKUP(INT(E31)+1,'Tank Tables'!$G$5:$H$130,2,FALSE())-VLOOKUP(INT(E31),'Tank Tables'!$G$5:$H$130,2,FALSE())),0),IFERROR(ROUND(VLOOKUP(INT(E31),'Tank Tables'!$G$5:$H$130,2,FALSE()),0),"?")))</f>
        <v/>
      </c>
      <c r="N31" s="46" t="str">
        <f aca="false">IF(F31="","",IFERROR(ROUND(VLOOKUP(INT(F31),'Tank Tables'!$A$5:$B$121,2,FALSE())+(F31-INT(F31))*(VLOOKUP(INT(F31)+1,'Tank Tables'!$A$5:$B$121,2,FALSE())-VLOOKUP(INT(F31),'Tank Tables'!$A$5:$B$121,2,FALSE())),0),IFERROR(ROUND(VLOOKUP(INT(F31),'Tank Tables'!$A$5:$B$121,2,FALSE()),0),"?")))</f>
        <v/>
      </c>
      <c r="O31" s="46" t="str">
        <f aca="false">IF(G31="","",IFERROR(ROUND(VLOOKUP(INT(G31),'Tank Tables'!$C$5:$D$130,2,FALSE())+(G31-INT(G31))*(VLOOKUP(INT(G31)+1,'Tank Tables'!$C$5:$D$130,2,FALSE())-VLOOKUP(INT(G31),'Tank Tables'!$C$5:$D$130,2,FALSE())),0),IFERROR(ROUND(VLOOKUP(INT(G31),'Tank Tables'!$C$5:$D$130,2,FALSE()),0),"?")))</f>
        <v/>
      </c>
      <c r="P31" s="46" t="str">
        <f aca="false">IF(H31="","",IFERROR(ROUND(VLOOKUP(INT(H31),'Tank Tables'!$E$5:$F$130,2,FALSE())+(H31-INT(H31))*(VLOOKUP(INT(H31)+1,'Tank Tables'!$E$5:$F$130,2,FALSE())-VLOOKUP(INT(H31),'Tank Tables'!$E$5:$F$130,2,FALSE())),0),IFERROR(ROUND(VLOOKUP(INT(H31),'Tank Tables'!$E$5:$F$130,2,FALSE()),0),"?")))</f>
        <v/>
      </c>
      <c r="Q31" s="46" t="str">
        <f aca="false">IF(I31="","",IFERROR(ROUND(VLOOKUP(INT(I31),'Tank Tables'!$G$5:$H$130,2,FALSE())+(I31-INT(I31))*(VLOOKUP(INT(I31)+1,'Tank Tables'!$G$5:$H$130,2,FALSE())-VLOOKUP(INT(I31),'Tank Tables'!$G$5:$H$130,2,FALSE())),0),IFERROR(ROUND(VLOOKUP(INT(I31),'Tank Tables'!$G$5:$H$130,2,FALSE()),0),"?")))</f>
        <v/>
      </c>
      <c r="R31" s="47" t="str">
        <f aca="false">IF(COUNT(J31:M31)=0,"",SUM(J31:M31))</f>
        <v/>
      </c>
      <c r="S31" s="47" t="str">
        <f aca="false">IF(COUNT(N31:Q31)=0,"",SUM(N31:Q31))</f>
        <v/>
      </c>
      <c r="T31" s="53" t="str">
        <f aca="false">IF(COUNT(R31:S31)=0,"",SUM(R31:S31))</f>
        <v/>
      </c>
      <c r="U31" s="54"/>
      <c r="V31" s="47" t="str">
        <f aca="false">IF(T31="","",IF(T30="","",T30+U31-T31))</f>
        <v/>
      </c>
      <c r="W31" s="46" t="str">
        <f aca="false">IF(T31="","",Settings!$C$7-T31)</f>
        <v/>
      </c>
      <c r="X31" s="46" t="str">
        <f aca="false">IF(T31="","",MAX(0,INT(W31/Settings!$C$8)))</f>
        <v/>
      </c>
      <c r="Y31" s="57" t="str">
        <f aca="false">IF(T31="","",IF(X31&gt;=2,"ROOM FOR "&amp;X31&amp;" TRUCKS",IF(X31=1,"ROOM FOR 1 TRUCK","")))</f>
        <v/>
      </c>
      <c r="Z31" s="54"/>
      <c r="AA31" s="54"/>
      <c r="AB31" s="54"/>
      <c r="AC31" s="47" t="str">
        <f aca="false">IF(COUNT(Z31:AA31)=0,"",SUM(Z31:AA31))</f>
        <v/>
      </c>
      <c r="AD31" s="47" t="str">
        <f aca="false">IF(AC31="","",IF(AC30="","",AC30+AB31-AC31))</f>
        <v/>
      </c>
      <c r="AE31" s="54"/>
      <c r="AF31" s="54"/>
      <c r="AG31" s="47" t="str">
        <f aca="false">IF(AE31="","",IF(AE30="","",AE30+AF31-AE31))</f>
        <v/>
      </c>
      <c r="AH31" s="58"/>
    </row>
    <row r="32" customFormat="false" ht="19.5" hidden="false" customHeight="true" outlineLevel="0" collapsed="false">
      <c r="A32" s="44"/>
      <c r="B32" s="51"/>
      <c r="C32" s="51"/>
      <c r="D32" s="51"/>
      <c r="E32" s="51"/>
      <c r="F32" s="51"/>
      <c r="G32" s="51"/>
      <c r="H32" s="51"/>
      <c r="I32" s="51"/>
      <c r="J32" s="52" t="str">
        <f aca="false">IF(B32="","",IFERROR(ROUND(VLOOKUP(INT(B32),'Tank Tables'!$A$5:$B$121,2,FALSE())+(B32-INT(B32))*(VLOOKUP(INT(B32)+1,'Tank Tables'!$A$5:$B$121,2,FALSE())-VLOOKUP(INT(B32),'Tank Tables'!$A$5:$B$121,2,FALSE())),0),IFERROR(ROUND(VLOOKUP(INT(B32),'Tank Tables'!$A$5:$B$121,2,FALSE()),0),"?")))</f>
        <v/>
      </c>
      <c r="K32" s="52" t="str">
        <f aca="false">IF(C32="","",IFERROR(ROUND(VLOOKUP(INT(C32),'Tank Tables'!$C$5:$D$130,2,FALSE())+(C32-INT(C32))*(VLOOKUP(INT(C32)+1,'Tank Tables'!$C$5:$D$130,2,FALSE())-VLOOKUP(INT(C32),'Tank Tables'!$C$5:$D$130,2,FALSE())),0),IFERROR(ROUND(VLOOKUP(INT(C32),'Tank Tables'!$C$5:$D$130,2,FALSE()),0),"?")))</f>
        <v/>
      </c>
      <c r="L32" s="52" t="str">
        <f aca="false">IF(D32="","",IFERROR(ROUND(VLOOKUP(INT(D32),'Tank Tables'!$E$5:$F$130,2,FALSE())+(D32-INT(D32))*(VLOOKUP(INT(D32)+1,'Tank Tables'!$E$5:$F$130,2,FALSE())-VLOOKUP(INT(D32),'Tank Tables'!$E$5:$F$130,2,FALSE())),0),IFERROR(ROUND(VLOOKUP(INT(D32),'Tank Tables'!$E$5:$F$130,2,FALSE()),0),"?")))</f>
        <v/>
      </c>
      <c r="M32" s="52" t="str">
        <f aca="false">IF(E32="","",IFERROR(ROUND(VLOOKUP(INT(E32),'Tank Tables'!$G$5:$H$130,2,FALSE())+(E32-INT(E32))*(VLOOKUP(INT(E32)+1,'Tank Tables'!$G$5:$H$130,2,FALSE())-VLOOKUP(INT(E32),'Tank Tables'!$G$5:$H$130,2,FALSE())),0),IFERROR(ROUND(VLOOKUP(INT(E32),'Tank Tables'!$G$5:$H$130,2,FALSE()),0),"?")))</f>
        <v/>
      </c>
      <c r="N32" s="52" t="str">
        <f aca="false">IF(F32="","",IFERROR(ROUND(VLOOKUP(INT(F32),'Tank Tables'!$A$5:$B$121,2,FALSE())+(F32-INT(F32))*(VLOOKUP(INT(F32)+1,'Tank Tables'!$A$5:$B$121,2,FALSE())-VLOOKUP(INT(F32),'Tank Tables'!$A$5:$B$121,2,FALSE())),0),IFERROR(ROUND(VLOOKUP(INT(F32),'Tank Tables'!$A$5:$B$121,2,FALSE()),0),"?")))</f>
        <v/>
      </c>
      <c r="O32" s="52" t="str">
        <f aca="false">IF(G32="","",IFERROR(ROUND(VLOOKUP(INT(G32),'Tank Tables'!$C$5:$D$130,2,FALSE())+(G32-INT(G32))*(VLOOKUP(INT(G32)+1,'Tank Tables'!$C$5:$D$130,2,FALSE())-VLOOKUP(INT(G32),'Tank Tables'!$C$5:$D$130,2,FALSE())),0),IFERROR(ROUND(VLOOKUP(INT(G32),'Tank Tables'!$C$5:$D$130,2,FALSE()),0),"?")))</f>
        <v/>
      </c>
      <c r="P32" s="52" t="str">
        <f aca="false">IF(H32="","",IFERROR(ROUND(VLOOKUP(INT(H32),'Tank Tables'!$E$5:$F$130,2,FALSE())+(H32-INT(H32))*(VLOOKUP(INT(H32)+1,'Tank Tables'!$E$5:$F$130,2,FALSE())-VLOOKUP(INT(H32),'Tank Tables'!$E$5:$F$130,2,FALSE())),0),IFERROR(ROUND(VLOOKUP(INT(H32),'Tank Tables'!$E$5:$F$130,2,FALSE()),0),"?")))</f>
        <v/>
      </c>
      <c r="Q32" s="52" t="str">
        <f aca="false">IF(I32="","",IFERROR(ROUND(VLOOKUP(INT(I32),'Tank Tables'!$G$5:$H$130,2,FALSE())+(I32-INT(I32))*(VLOOKUP(INT(I32)+1,'Tank Tables'!$G$5:$H$130,2,FALSE())-VLOOKUP(INT(I32),'Tank Tables'!$G$5:$H$130,2,FALSE())),0),IFERROR(ROUND(VLOOKUP(INT(I32),'Tank Tables'!$G$5:$H$130,2,FALSE()),0),"?")))</f>
        <v/>
      </c>
      <c r="R32" s="47" t="str">
        <f aca="false">IF(COUNT(J32:M32)=0,"",SUM(J32:M32))</f>
        <v/>
      </c>
      <c r="S32" s="47" t="str">
        <f aca="false">IF(COUNT(N32:Q32)=0,"",SUM(N32:Q32))</f>
        <v/>
      </c>
      <c r="T32" s="53" t="str">
        <f aca="false">IF(COUNT(R32:S32)=0,"",SUM(R32:S32))</f>
        <v/>
      </c>
      <c r="U32" s="54"/>
      <c r="V32" s="47" t="str">
        <f aca="false">IF(T32="","",IF(T31="","",T31+U32-T32))</f>
        <v/>
      </c>
      <c r="W32" s="52" t="str">
        <f aca="false">IF(T32="","",Settings!$C$7-T32)</f>
        <v/>
      </c>
      <c r="X32" s="52" t="str">
        <f aca="false">IF(T32="","",MAX(0,INT(W32/Settings!$C$8)))</f>
        <v/>
      </c>
      <c r="Y32" s="55" t="str">
        <f aca="false">IF(T32="","",IF(X32&gt;=2,"ROOM FOR "&amp;X32&amp;" TRUCKS",IF(X32=1,"ROOM FOR 1 TRUCK","")))</f>
        <v/>
      </c>
      <c r="Z32" s="54"/>
      <c r="AA32" s="54"/>
      <c r="AB32" s="54"/>
      <c r="AC32" s="47" t="str">
        <f aca="false">IF(COUNT(Z32:AA32)=0,"",SUM(Z32:AA32))</f>
        <v/>
      </c>
      <c r="AD32" s="47" t="str">
        <f aca="false">IF(AC32="","",IF(AC31="","",AC31+AB32-AC32))</f>
        <v/>
      </c>
      <c r="AE32" s="54"/>
      <c r="AF32" s="54"/>
      <c r="AG32" s="47" t="str">
        <f aca="false">IF(AE32="","",IF(AE31="","",AE31+AF32-AE32))</f>
        <v/>
      </c>
      <c r="AH32" s="59"/>
    </row>
    <row r="33" customFormat="false" ht="19.5" hidden="false" customHeight="true" outlineLevel="0" collapsed="false">
      <c r="A33" s="44"/>
      <c r="B33" s="51"/>
      <c r="C33" s="51"/>
      <c r="D33" s="51"/>
      <c r="E33" s="51"/>
      <c r="F33" s="51"/>
      <c r="G33" s="51"/>
      <c r="H33" s="51"/>
      <c r="I33" s="51"/>
      <c r="J33" s="46" t="str">
        <f aca="false">IF(B33="","",IFERROR(ROUND(VLOOKUP(INT(B33),'Tank Tables'!$A$5:$B$121,2,FALSE())+(B33-INT(B33))*(VLOOKUP(INT(B33)+1,'Tank Tables'!$A$5:$B$121,2,FALSE())-VLOOKUP(INT(B33),'Tank Tables'!$A$5:$B$121,2,FALSE())),0),IFERROR(ROUND(VLOOKUP(INT(B33),'Tank Tables'!$A$5:$B$121,2,FALSE()),0),"?")))</f>
        <v/>
      </c>
      <c r="K33" s="46" t="str">
        <f aca="false">IF(C33="","",IFERROR(ROUND(VLOOKUP(INT(C33),'Tank Tables'!$C$5:$D$130,2,FALSE())+(C33-INT(C33))*(VLOOKUP(INT(C33)+1,'Tank Tables'!$C$5:$D$130,2,FALSE())-VLOOKUP(INT(C33),'Tank Tables'!$C$5:$D$130,2,FALSE())),0),IFERROR(ROUND(VLOOKUP(INT(C33),'Tank Tables'!$C$5:$D$130,2,FALSE()),0),"?")))</f>
        <v/>
      </c>
      <c r="L33" s="46" t="str">
        <f aca="false">IF(D33="","",IFERROR(ROUND(VLOOKUP(INT(D33),'Tank Tables'!$E$5:$F$130,2,FALSE())+(D33-INT(D33))*(VLOOKUP(INT(D33)+1,'Tank Tables'!$E$5:$F$130,2,FALSE())-VLOOKUP(INT(D33),'Tank Tables'!$E$5:$F$130,2,FALSE())),0),IFERROR(ROUND(VLOOKUP(INT(D33),'Tank Tables'!$E$5:$F$130,2,FALSE()),0),"?")))</f>
        <v/>
      </c>
      <c r="M33" s="46" t="str">
        <f aca="false">IF(E33="","",IFERROR(ROUND(VLOOKUP(INT(E33),'Tank Tables'!$G$5:$H$130,2,FALSE())+(E33-INT(E33))*(VLOOKUP(INT(E33)+1,'Tank Tables'!$G$5:$H$130,2,FALSE())-VLOOKUP(INT(E33),'Tank Tables'!$G$5:$H$130,2,FALSE())),0),IFERROR(ROUND(VLOOKUP(INT(E33),'Tank Tables'!$G$5:$H$130,2,FALSE()),0),"?")))</f>
        <v/>
      </c>
      <c r="N33" s="46" t="str">
        <f aca="false">IF(F33="","",IFERROR(ROUND(VLOOKUP(INT(F33),'Tank Tables'!$A$5:$B$121,2,FALSE())+(F33-INT(F33))*(VLOOKUP(INT(F33)+1,'Tank Tables'!$A$5:$B$121,2,FALSE())-VLOOKUP(INT(F33),'Tank Tables'!$A$5:$B$121,2,FALSE())),0),IFERROR(ROUND(VLOOKUP(INT(F33),'Tank Tables'!$A$5:$B$121,2,FALSE()),0),"?")))</f>
        <v/>
      </c>
      <c r="O33" s="46" t="str">
        <f aca="false">IF(G33="","",IFERROR(ROUND(VLOOKUP(INT(G33),'Tank Tables'!$C$5:$D$130,2,FALSE())+(G33-INT(G33))*(VLOOKUP(INT(G33)+1,'Tank Tables'!$C$5:$D$130,2,FALSE())-VLOOKUP(INT(G33),'Tank Tables'!$C$5:$D$130,2,FALSE())),0),IFERROR(ROUND(VLOOKUP(INT(G33),'Tank Tables'!$C$5:$D$130,2,FALSE()),0),"?")))</f>
        <v/>
      </c>
      <c r="P33" s="46" t="str">
        <f aca="false">IF(H33="","",IFERROR(ROUND(VLOOKUP(INT(H33),'Tank Tables'!$E$5:$F$130,2,FALSE())+(H33-INT(H33))*(VLOOKUP(INT(H33)+1,'Tank Tables'!$E$5:$F$130,2,FALSE())-VLOOKUP(INT(H33),'Tank Tables'!$E$5:$F$130,2,FALSE())),0),IFERROR(ROUND(VLOOKUP(INT(H33),'Tank Tables'!$E$5:$F$130,2,FALSE()),0),"?")))</f>
        <v/>
      </c>
      <c r="Q33" s="46" t="str">
        <f aca="false">IF(I33="","",IFERROR(ROUND(VLOOKUP(INT(I33),'Tank Tables'!$G$5:$H$130,2,FALSE())+(I33-INT(I33))*(VLOOKUP(INT(I33)+1,'Tank Tables'!$G$5:$H$130,2,FALSE())-VLOOKUP(INT(I33),'Tank Tables'!$G$5:$H$130,2,FALSE())),0),IFERROR(ROUND(VLOOKUP(INT(I33),'Tank Tables'!$G$5:$H$130,2,FALSE()),0),"?")))</f>
        <v/>
      </c>
      <c r="R33" s="47" t="str">
        <f aca="false">IF(COUNT(J33:M33)=0,"",SUM(J33:M33))</f>
        <v/>
      </c>
      <c r="S33" s="47" t="str">
        <f aca="false">IF(COUNT(N33:Q33)=0,"",SUM(N33:Q33))</f>
        <v/>
      </c>
      <c r="T33" s="53" t="str">
        <f aca="false">IF(COUNT(R33:S33)=0,"",SUM(R33:S33))</f>
        <v/>
      </c>
      <c r="U33" s="54"/>
      <c r="V33" s="47" t="str">
        <f aca="false">IF(T33="","",IF(T32="","",T32+U33-T33))</f>
        <v/>
      </c>
      <c r="W33" s="46" t="str">
        <f aca="false">IF(T33="","",Settings!$C$7-T33)</f>
        <v/>
      </c>
      <c r="X33" s="46" t="str">
        <f aca="false">IF(T33="","",MAX(0,INT(W33/Settings!$C$8)))</f>
        <v/>
      </c>
      <c r="Y33" s="57" t="str">
        <f aca="false">IF(T33="","",IF(X33&gt;=2,"ROOM FOR "&amp;X33&amp;" TRUCKS",IF(X33=1,"ROOM FOR 1 TRUCK","")))</f>
        <v/>
      </c>
      <c r="Z33" s="54"/>
      <c r="AA33" s="54"/>
      <c r="AB33" s="54"/>
      <c r="AC33" s="47" t="str">
        <f aca="false">IF(COUNT(Z33:AA33)=0,"",SUM(Z33:AA33))</f>
        <v/>
      </c>
      <c r="AD33" s="47" t="str">
        <f aca="false">IF(AC33="","",IF(AC32="","",AC32+AB33-AC33))</f>
        <v/>
      </c>
      <c r="AE33" s="54"/>
      <c r="AF33" s="54"/>
      <c r="AG33" s="47" t="str">
        <f aca="false">IF(AE33="","",IF(AE32="","",AE32+AF33-AE33))</f>
        <v/>
      </c>
      <c r="AH33" s="58"/>
    </row>
    <row r="34" customFormat="false" ht="19.5" hidden="false" customHeight="true" outlineLevel="0" collapsed="false">
      <c r="A34" s="44"/>
      <c r="B34" s="51"/>
      <c r="C34" s="51"/>
      <c r="D34" s="51"/>
      <c r="E34" s="51"/>
      <c r="F34" s="51"/>
      <c r="G34" s="51"/>
      <c r="H34" s="51"/>
      <c r="I34" s="51"/>
      <c r="J34" s="52" t="str">
        <f aca="false">IF(B34="","",IFERROR(ROUND(VLOOKUP(INT(B34),'Tank Tables'!$A$5:$B$121,2,FALSE())+(B34-INT(B34))*(VLOOKUP(INT(B34)+1,'Tank Tables'!$A$5:$B$121,2,FALSE())-VLOOKUP(INT(B34),'Tank Tables'!$A$5:$B$121,2,FALSE())),0),IFERROR(ROUND(VLOOKUP(INT(B34),'Tank Tables'!$A$5:$B$121,2,FALSE()),0),"?")))</f>
        <v/>
      </c>
      <c r="K34" s="52" t="str">
        <f aca="false">IF(C34="","",IFERROR(ROUND(VLOOKUP(INT(C34),'Tank Tables'!$C$5:$D$130,2,FALSE())+(C34-INT(C34))*(VLOOKUP(INT(C34)+1,'Tank Tables'!$C$5:$D$130,2,FALSE())-VLOOKUP(INT(C34),'Tank Tables'!$C$5:$D$130,2,FALSE())),0),IFERROR(ROUND(VLOOKUP(INT(C34),'Tank Tables'!$C$5:$D$130,2,FALSE()),0),"?")))</f>
        <v/>
      </c>
      <c r="L34" s="52" t="str">
        <f aca="false">IF(D34="","",IFERROR(ROUND(VLOOKUP(INT(D34),'Tank Tables'!$E$5:$F$130,2,FALSE())+(D34-INT(D34))*(VLOOKUP(INT(D34)+1,'Tank Tables'!$E$5:$F$130,2,FALSE())-VLOOKUP(INT(D34),'Tank Tables'!$E$5:$F$130,2,FALSE())),0),IFERROR(ROUND(VLOOKUP(INT(D34),'Tank Tables'!$E$5:$F$130,2,FALSE()),0),"?")))</f>
        <v/>
      </c>
      <c r="M34" s="52" t="str">
        <f aca="false">IF(E34="","",IFERROR(ROUND(VLOOKUP(INT(E34),'Tank Tables'!$G$5:$H$130,2,FALSE())+(E34-INT(E34))*(VLOOKUP(INT(E34)+1,'Tank Tables'!$G$5:$H$130,2,FALSE())-VLOOKUP(INT(E34),'Tank Tables'!$G$5:$H$130,2,FALSE())),0),IFERROR(ROUND(VLOOKUP(INT(E34),'Tank Tables'!$G$5:$H$130,2,FALSE()),0),"?")))</f>
        <v/>
      </c>
      <c r="N34" s="52" t="str">
        <f aca="false">IF(F34="","",IFERROR(ROUND(VLOOKUP(INT(F34),'Tank Tables'!$A$5:$B$121,2,FALSE())+(F34-INT(F34))*(VLOOKUP(INT(F34)+1,'Tank Tables'!$A$5:$B$121,2,FALSE())-VLOOKUP(INT(F34),'Tank Tables'!$A$5:$B$121,2,FALSE())),0),IFERROR(ROUND(VLOOKUP(INT(F34),'Tank Tables'!$A$5:$B$121,2,FALSE()),0),"?")))</f>
        <v/>
      </c>
      <c r="O34" s="52" t="str">
        <f aca="false">IF(G34="","",IFERROR(ROUND(VLOOKUP(INT(G34),'Tank Tables'!$C$5:$D$130,2,FALSE())+(G34-INT(G34))*(VLOOKUP(INT(G34)+1,'Tank Tables'!$C$5:$D$130,2,FALSE())-VLOOKUP(INT(G34),'Tank Tables'!$C$5:$D$130,2,FALSE())),0),IFERROR(ROUND(VLOOKUP(INT(G34),'Tank Tables'!$C$5:$D$130,2,FALSE()),0),"?")))</f>
        <v/>
      </c>
      <c r="P34" s="52" t="str">
        <f aca="false">IF(H34="","",IFERROR(ROUND(VLOOKUP(INT(H34),'Tank Tables'!$E$5:$F$130,2,FALSE())+(H34-INT(H34))*(VLOOKUP(INT(H34)+1,'Tank Tables'!$E$5:$F$130,2,FALSE())-VLOOKUP(INT(H34),'Tank Tables'!$E$5:$F$130,2,FALSE())),0),IFERROR(ROUND(VLOOKUP(INT(H34),'Tank Tables'!$E$5:$F$130,2,FALSE()),0),"?")))</f>
        <v/>
      </c>
      <c r="Q34" s="52" t="str">
        <f aca="false">IF(I34="","",IFERROR(ROUND(VLOOKUP(INT(I34),'Tank Tables'!$G$5:$H$130,2,FALSE())+(I34-INT(I34))*(VLOOKUP(INT(I34)+1,'Tank Tables'!$G$5:$H$130,2,FALSE())-VLOOKUP(INT(I34),'Tank Tables'!$G$5:$H$130,2,FALSE())),0),IFERROR(ROUND(VLOOKUP(INT(I34),'Tank Tables'!$G$5:$H$130,2,FALSE()),0),"?")))</f>
        <v/>
      </c>
      <c r="R34" s="47" t="str">
        <f aca="false">IF(COUNT(J34:M34)=0,"",SUM(J34:M34))</f>
        <v/>
      </c>
      <c r="S34" s="47" t="str">
        <f aca="false">IF(COUNT(N34:Q34)=0,"",SUM(N34:Q34))</f>
        <v/>
      </c>
      <c r="T34" s="53" t="str">
        <f aca="false">IF(COUNT(R34:S34)=0,"",SUM(R34:S34))</f>
        <v/>
      </c>
      <c r="U34" s="54"/>
      <c r="V34" s="47" t="str">
        <f aca="false">IF(T34="","",IF(T33="","",T33+U34-T34))</f>
        <v/>
      </c>
      <c r="W34" s="52" t="str">
        <f aca="false">IF(T34="","",Settings!$C$7-T34)</f>
        <v/>
      </c>
      <c r="X34" s="52" t="str">
        <f aca="false">IF(T34="","",MAX(0,INT(W34/Settings!$C$8)))</f>
        <v/>
      </c>
      <c r="Y34" s="55" t="str">
        <f aca="false">IF(T34="","",IF(X34&gt;=2,"ROOM FOR "&amp;X34&amp;" TRUCKS",IF(X34=1,"ROOM FOR 1 TRUCK","")))</f>
        <v/>
      </c>
      <c r="Z34" s="54"/>
      <c r="AA34" s="54"/>
      <c r="AB34" s="54"/>
      <c r="AC34" s="47" t="str">
        <f aca="false">IF(COUNT(Z34:AA34)=0,"",SUM(Z34:AA34))</f>
        <v/>
      </c>
      <c r="AD34" s="47" t="str">
        <f aca="false">IF(AC34="","",IF(AC33="","",AC33+AB34-AC34))</f>
        <v/>
      </c>
      <c r="AE34" s="54"/>
      <c r="AF34" s="54"/>
      <c r="AG34" s="47" t="str">
        <f aca="false">IF(AE34="","",IF(AE33="","",AE33+AF34-AE34))</f>
        <v/>
      </c>
      <c r="AH34" s="59"/>
    </row>
    <row r="35" customFormat="false" ht="19.5" hidden="false" customHeight="true" outlineLevel="0" collapsed="false">
      <c r="A35" s="44"/>
      <c r="B35" s="51"/>
      <c r="C35" s="51"/>
      <c r="D35" s="51"/>
      <c r="E35" s="51"/>
      <c r="F35" s="51"/>
      <c r="G35" s="51"/>
      <c r="H35" s="51"/>
      <c r="I35" s="51"/>
      <c r="J35" s="46" t="str">
        <f aca="false">IF(B35="","",IFERROR(ROUND(VLOOKUP(INT(B35),'Tank Tables'!$A$5:$B$121,2,FALSE())+(B35-INT(B35))*(VLOOKUP(INT(B35)+1,'Tank Tables'!$A$5:$B$121,2,FALSE())-VLOOKUP(INT(B35),'Tank Tables'!$A$5:$B$121,2,FALSE())),0),IFERROR(ROUND(VLOOKUP(INT(B35),'Tank Tables'!$A$5:$B$121,2,FALSE()),0),"?")))</f>
        <v/>
      </c>
      <c r="K35" s="46" t="str">
        <f aca="false">IF(C35="","",IFERROR(ROUND(VLOOKUP(INT(C35),'Tank Tables'!$C$5:$D$130,2,FALSE())+(C35-INT(C35))*(VLOOKUP(INT(C35)+1,'Tank Tables'!$C$5:$D$130,2,FALSE())-VLOOKUP(INT(C35),'Tank Tables'!$C$5:$D$130,2,FALSE())),0),IFERROR(ROUND(VLOOKUP(INT(C35),'Tank Tables'!$C$5:$D$130,2,FALSE()),0),"?")))</f>
        <v/>
      </c>
      <c r="L35" s="46" t="str">
        <f aca="false">IF(D35="","",IFERROR(ROUND(VLOOKUP(INT(D35),'Tank Tables'!$E$5:$F$130,2,FALSE())+(D35-INT(D35))*(VLOOKUP(INT(D35)+1,'Tank Tables'!$E$5:$F$130,2,FALSE())-VLOOKUP(INT(D35),'Tank Tables'!$E$5:$F$130,2,FALSE())),0),IFERROR(ROUND(VLOOKUP(INT(D35),'Tank Tables'!$E$5:$F$130,2,FALSE()),0),"?")))</f>
        <v/>
      </c>
      <c r="M35" s="46" t="str">
        <f aca="false">IF(E35="","",IFERROR(ROUND(VLOOKUP(INT(E35),'Tank Tables'!$G$5:$H$130,2,FALSE())+(E35-INT(E35))*(VLOOKUP(INT(E35)+1,'Tank Tables'!$G$5:$H$130,2,FALSE())-VLOOKUP(INT(E35),'Tank Tables'!$G$5:$H$130,2,FALSE())),0),IFERROR(ROUND(VLOOKUP(INT(E35),'Tank Tables'!$G$5:$H$130,2,FALSE()),0),"?")))</f>
        <v/>
      </c>
      <c r="N35" s="46" t="str">
        <f aca="false">IF(F35="","",IFERROR(ROUND(VLOOKUP(INT(F35),'Tank Tables'!$A$5:$B$121,2,FALSE())+(F35-INT(F35))*(VLOOKUP(INT(F35)+1,'Tank Tables'!$A$5:$B$121,2,FALSE())-VLOOKUP(INT(F35),'Tank Tables'!$A$5:$B$121,2,FALSE())),0),IFERROR(ROUND(VLOOKUP(INT(F35),'Tank Tables'!$A$5:$B$121,2,FALSE()),0),"?")))</f>
        <v/>
      </c>
      <c r="O35" s="46" t="str">
        <f aca="false">IF(G35="","",IFERROR(ROUND(VLOOKUP(INT(G35),'Tank Tables'!$C$5:$D$130,2,FALSE())+(G35-INT(G35))*(VLOOKUP(INT(G35)+1,'Tank Tables'!$C$5:$D$130,2,FALSE())-VLOOKUP(INT(G35),'Tank Tables'!$C$5:$D$130,2,FALSE())),0),IFERROR(ROUND(VLOOKUP(INT(G35),'Tank Tables'!$C$5:$D$130,2,FALSE()),0),"?")))</f>
        <v/>
      </c>
      <c r="P35" s="46" t="str">
        <f aca="false">IF(H35="","",IFERROR(ROUND(VLOOKUP(INT(H35),'Tank Tables'!$E$5:$F$130,2,FALSE())+(H35-INT(H35))*(VLOOKUP(INT(H35)+1,'Tank Tables'!$E$5:$F$130,2,FALSE())-VLOOKUP(INT(H35),'Tank Tables'!$E$5:$F$130,2,FALSE())),0),IFERROR(ROUND(VLOOKUP(INT(H35),'Tank Tables'!$E$5:$F$130,2,FALSE()),0),"?")))</f>
        <v/>
      </c>
      <c r="Q35" s="46" t="str">
        <f aca="false">IF(I35="","",IFERROR(ROUND(VLOOKUP(INT(I35),'Tank Tables'!$G$5:$H$130,2,FALSE())+(I35-INT(I35))*(VLOOKUP(INT(I35)+1,'Tank Tables'!$G$5:$H$130,2,FALSE())-VLOOKUP(INT(I35),'Tank Tables'!$G$5:$H$130,2,FALSE())),0),IFERROR(ROUND(VLOOKUP(INT(I35),'Tank Tables'!$G$5:$H$130,2,FALSE()),0),"?")))</f>
        <v/>
      </c>
      <c r="R35" s="47" t="str">
        <f aca="false">IF(COUNT(J35:M35)=0,"",SUM(J35:M35))</f>
        <v/>
      </c>
      <c r="S35" s="47" t="str">
        <f aca="false">IF(COUNT(N35:Q35)=0,"",SUM(N35:Q35))</f>
        <v/>
      </c>
      <c r="T35" s="53" t="str">
        <f aca="false">IF(COUNT(R35:S35)=0,"",SUM(R35:S35))</f>
        <v/>
      </c>
      <c r="U35" s="54"/>
      <c r="V35" s="47" t="str">
        <f aca="false">IF(T35="","",IF(T34="","",T34+U35-T35))</f>
        <v/>
      </c>
      <c r="W35" s="46" t="str">
        <f aca="false">IF(T35="","",Settings!$C$7-T35)</f>
        <v/>
      </c>
      <c r="X35" s="46" t="str">
        <f aca="false">IF(T35="","",MAX(0,INT(W35/Settings!$C$8)))</f>
        <v/>
      </c>
      <c r="Y35" s="57" t="str">
        <f aca="false">IF(T35="","",IF(X35&gt;=2,"ROOM FOR "&amp;X35&amp;" TRUCKS",IF(X35=1,"ROOM FOR 1 TRUCK","")))</f>
        <v/>
      </c>
      <c r="Z35" s="54"/>
      <c r="AA35" s="54"/>
      <c r="AB35" s="54"/>
      <c r="AC35" s="47" t="str">
        <f aca="false">IF(COUNT(Z35:AA35)=0,"",SUM(Z35:AA35))</f>
        <v/>
      </c>
      <c r="AD35" s="47" t="str">
        <f aca="false">IF(AC35="","",IF(AC34="","",AC34+AB35-AC35))</f>
        <v/>
      </c>
      <c r="AE35" s="54"/>
      <c r="AF35" s="54"/>
      <c r="AG35" s="47" t="str">
        <f aca="false">IF(AE35="","",IF(AE34="","",AE34+AF35-AE35))</f>
        <v/>
      </c>
      <c r="AH35" s="58"/>
    </row>
    <row r="36" customFormat="false" ht="19.5" hidden="false" customHeight="true" outlineLevel="0" collapsed="false">
      <c r="A36" s="44"/>
      <c r="B36" s="51"/>
      <c r="C36" s="51"/>
      <c r="D36" s="51"/>
      <c r="E36" s="51"/>
      <c r="F36" s="51"/>
      <c r="G36" s="51"/>
      <c r="H36" s="51"/>
      <c r="I36" s="51"/>
      <c r="J36" s="52" t="str">
        <f aca="false">IF(B36="","",IFERROR(ROUND(VLOOKUP(INT(B36),'Tank Tables'!$A$5:$B$121,2,FALSE())+(B36-INT(B36))*(VLOOKUP(INT(B36)+1,'Tank Tables'!$A$5:$B$121,2,FALSE())-VLOOKUP(INT(B36),'Tank Tables'!$A$5:$B$121,2,FALSE())),0),IFERROR(ROUND(VLOOKUP(INT(B36),'Tank Tables'!$A$5:$B$121,2,FALSE()),0),"?")))</f>
        <v/>
      </c>
      <c r="K36" s="52" t="str">
        <f aca="false">IF(C36="","",IFERROR(ROUND(VLOOKUP(INT(C36),'Tank Tables'!$C$5:$D$130,2,FALSE())+(C36-INT(C36))*(VLOOKUP(INT(C36)+1,'Tank Tables'!$C$5:$D$130,2,FALSE())-VLOOKUP(INT(C36),'Tank Tables'!$C$5:$D$130,2,FALSE())),0),IFERROR(ROUND(VLOOKUP(INT(C36),'Tank Tables'!$C$5:$D$130,2,FALSE()),0),"?")))</f>
        <v/>
      </c>
      <c r="L36" s="52" t="str">
        <f aca="false">IF(D36="","",IFERROR(ROUND(VLOOKUP(INT(D36),'Tank Tables'!$E$5:$F$130,2,FALSE())+(D36-INT(D36))*(VLOOKUP(INT(D36)+1,'Tank Tables'!$E$5:$F$130,2,FALSE())-VLOOKUP(INT(D36),'Tank Tables'!$E$5:$F$130,2,FALSE())),0),IFERROR(ROUND(VLOOKUP(INT(D36),'Tank Tables'!$E$5:$F$130,2,FALSE()),0),"?")))</f>
        <v/>
      </c>
      <c r="M36" s="52" t="str">
        <f aca="false">IF(E36="","",IFERROR(ROUND(VLOOKUP(INT(E36),'Tank Tables'!$G$5:$H$130,2,FALSE())+(E36-INT(E36))*(VLOOKUP(INT(E36)+1,'Tank Tables'!$G$5:$H$130,2,FALSE())-VLOOKUP(INT(E36),'Tank Tables'!$G$5:$H$130,2,FALSE())),0),IFERROR(ROUND(VLOOKUP(INT(E36),'Tank Tables'!$G$5:$H$130,2,FALSE()),0),"?")))</f>
        <v/>
      </c>
      <c r="N36" s="52" t="str">
        <f aca="false">IF(F36="","",IFERROR(ROUND(VLOOKUP(INT(F36),'Tank Tables'!$A$5:$B$121,2,FALSE())+(F36-INT(F36))*(VLOOKUP(INT(F36)+1,'Tank Tables'!$A$5:$B$121,2,FALSE())-VLOOKUP(INT(F36),'Tank Tables'!$A$5:$B$121,2,FALSE())),0),IFERROR(ROUND(VLOOKUP(INT(F36),'Tank Tables'!$A$5:$B$121,2,FALSE()),0),"?")))</f>
        <v/>
      </c>
      <c r="O36" s="52" t="str">
        <f aca="false">IF(G36="","",IFERROR(ROUND(VLOOKUP(INT(G36),'Tank Tables'!$C$5:$D$130,2,FALSE())+(G36-INT(G36))*(VLOOKUP(INT(G36)+1,'Tank Tables'!$C$5:$D$130,2,FALSE())-VLOOKUP(INT(G36),'Tank Tables'!$C$5:$D$130,2,FALSE())),0),IFERROR(ROUND(VLOOKUP(INT(G36),'Tank Tables'!$C$5:$D$130,2,FALSE()),0),"?")))</f>
        <v/>
      </c>
      <c r="P36" s="52" t="str">
        <f aca="false">IF(H36="","",IFERROR(ROUND(VLOOKUP(INT(H36),'Tank Tables'!$E$5:$F$130,2,FALSE())+(H36-INT(H36))*(VLOOKUP(INT(H36)+1,'Tank Tables'!$E$5:$F$130,2,FALSE())-VLOOKUP(INT(H36),'Tank Tables'!$E$5:$F$130,2,FALSE())),0),IFERROR(ROUND(VLOOKUP(INT(H36),'Tank Tables'!$E$5:$F$130,2,FALSE()),0),"?")))</f>
        <v/>
      </c>
      <c r="Q36" s="52" t="str">
        <f aca="false">IF(I36="","",IFERROR(ROUND(VLOOKUP(INT(I36),'Tank Tables'!$G$5:$H$130,2,FALSE())+(I36-INT(I36))*(VLOOKUP(INT(I36)+1,'Tank Tables'!$G$5:$H$130,2,FALSE())-VLOOKUP(INT(I36),'Tank Tables'!$G$5:$H$130,2,FALSE())),0),IFERROR(ROUND(VLOOKUP(INT(I36),'Tank Tables'!$G$5:$H$130,2,FALSE()),0),"?")))</f>
        <v/>
      </c>
      <c r="R36" s="47" t="str">
        <f aca="false">IF(COUNT(J36:M36)=0,"",SUM(J36:M36))</f>
        <v/>
      </c>
      <c r="S36" s="47" t="str">
        <f aca="false">IF(COUNT(N36:Q36)=0,"",SUM(N36:Q36))</f>
        <v/>
      </c>
      <c r="T36" s="53" t="str">
        <f aca="false">IF(COUNT(R36:S36)=0,"",SUM(R36:S36))</f>
        <v/>
      </c>
      <c r="U36" s="54"/>
      <c r="V36" s="47" t="str">
        <f aca="false">IF(T36="","",IF(T35="","",T35+U36-T36))</f>
        <v/>
      </c>
      <c r="W36" s="52" t="str">
        <f aca="false">IF(T36="","",Settings!$C$7-T36)</f>
        <v/>
      </c>
      <c r="X36" s="52" t="str">
        <f aca="false">IF(T36="","",MAX(0,INT(W36/Settings!$C$8)))</f>
        <v/>
      </c>
      <c r="Y36" s="55" t="str">
        <f aca="false">IF(T36="","",IF(X36&gt;=2,"ROOM FOR "&amp;X36&amp;" TRUCKS",IF(X36=1,"ROOM FOR 1 TRUCK","")))</f>
        <v/>
      </c>
      <c r="Z36" s="54"/>
      <c r="AA36" s="54"/>
      <c r="AB36" s="54"/>
      <c r="AC36" s="47" t="str">
        <f aca="false">IF(COUNT(Z36:AA36)=0,"",SUM(Z36:AA36))</f>
        <v/>
      </c>
      <c r="AD36" s="47" t="str">
        <f aca="false">IF(AC36="","",IF(AC35="","",AC35+AB36-AC36))</f>
        <v/>
      </c>
      <c r="AE36" s="54"/>
      <c r="AF36" s="54"/>
      <c r="AG36" s="47" t="str">
        <f aca="false">IF(AE36="","",IF(AE35="","",AE35+AF36-AE36))</f>
        <v/>
      </c>
      <c r="AH36" s="59"/>
    </row>
    <row r="37" customFormat="false" ht="19.5" hidden="false" customHeight="true" outlineLevel="0" collapsed="false">
      <c r="A37" s="44"/>
      <c r="B37" s="51"/>
      <c r="C37" s="51"/>
      <c r="D37" s="51"/>
      <c r="E37" s="51"/>
      <c r="F37" s="51"/>
      <c r="G37" s="51"/>
      <c r="H37" s="51"/>
      <c r="I37" s="51"/>
      <c r="J37" s="46" t="str">
        <f aca="false">IF(B37="","",IFERROR(ROUND(VLOOKUP(INT(B37),'Tank Tables'!$A$5:$B$121,2,FALSE())+(B37-INT(B37))*(VLOOKUP(INT(B37)+1,'Tank Tables'!$A$5:$B$121,2,FALSE())-VLOOKUP(INT(B37),'Tank Tables'!$A$5:$B$121,2,FALSE())),0),IFERROR(ROUND(VLOOKUP(INT(B37),'Tank Tables'!$A$5:$B$121,2,FALSE()),0),"?")))</f>
        <v/>
      </c>
      <c r="K37" s="46" t="str">
        <f aca="false">IF(C37="","",IFERROR(ROUND(VLOOKUP(INT(C37),'Tank Tables'!$C$5:$D$130,2,FALSE())+(C37-INT(C37))*(VLOOKUP(INT(C37)+1,'Tank Tables'!$C$5:$D$130,2,FALSE())-VLOOKUP(INT(C37),'Tank Tables'!$C$5:$D$130,2,FALSE())),0),IFERROR(ROUND(VLOOKUP(INT(C37),'Tank Tables'!$C$5:$D$130,2,FALSE()),0),"?")))</f>
        <v/>
      </c>
      <c r="L37" s="46" t="str">
        <f aca="false">IF(D37="","",IFERROR(ROUND(VLOOKUP(INT(D37),'Tank Tables'!$E$5:$F$130,2,FALSE())+(D37-INT(D37))*(VLOOKUP(INT(D37)+1,'Tank Tables'!$E$5:$F$130,2,FALSE())-VLOOKUP(INT(D37),'Tank Tables'!$E$5:$F$130,2,FALSE())),0),IFERROR(ROUND(VLOOKUP(INT(D37),'Tank Tables'!$E$5:$F$130,2,FALSE()),0),"?")))</f>
        <v/>
      </c>
      <c r="M37" s="46" t="str">
        <f aca="false">IF(E37="","",IFERROR(ROUND(VLOOKUP(INT(E37),'Tank Tables'!$G$5:$H$130,2,FALSE())+(E37-INT(E37))*(VLOOKUP(INT(E37)+1,'Tank Tables'!$G$5:$H$130,2,FALSE())-VLOOKUP(INT(E37),'Tank Tables'!$G$5:$H$130,2,FALSE())),0),IFERROR(ROUND(VLOOKUP(INT(E37),'Tank Tables'!$G$5:$H$130,2,FALSE()),0),"?")))</f>
        <v/>
      </c>
      <c r="N37" s="46" t="str">
        <f aca="false">IF(F37="","",IFERROR(ROUND(VLOOKUP(INT(F37),'Tank Tables'!$A$5:$B$121,2,FALSE())+(F37-INT(F37))*(VLOOKUP(INT(F37)+1,'Tank Tables'!$A$5:$B$121,2,FALSE())-VLOOKUP(INT(F37),'Tank Tables'!$A$5:$B$121,2,FALSE())),0),IFERROR(ROUND(VLOOKUP(INT(F37),'Tank Tables'!$A$5:$B$121,2,FALSE()),0),"?")))</f>
        <v/>
      </c>
      <c r="O37" s="46" t="str">
        <f aca="false">IF(G37="","",IFERROR(ROUND(VLOOKUP(INT(G37),'Tank Tables'!$C$5:$D$130,2,FALSE())+(G37-INT(G37))*(VLOOKUP(INT(G37)+1,'Tank Tables'!$C$5:$D$130,2,FALSE())-VLOOKUP(INT(G37),'Tank Tables'!$C$5:$D$130,2,FALSE())),0),IFERROR(ROUND(VLOOKUP(INT(G37),'Tank Tables'!$C$5:$D$130,2,FALSE()),0),"?")))</f>
        <v/>
      </c>
      <c r="P37" s="46" t="str">
        <f aca="false">IF(H37="","",IFERROR(ROUND(VLOOKUP(INT(H37),'Tank Tables'!$E$5:$F$130,2,FALSE())+(H37-INT(H37))*(VLOOKUP(INT(H37)+1,'Tank Tables'!$E$5:$F$130,2,FALSE())-VLOOKUP(INT(H37),'Tank Tables'!$E$5:$F$130,2,FALSE())),0),IFERROR(ROUND(VLOOKUP(INT(H37),'Tank Tables'!$E$5:$F$130,2,FALSE()),0),"?")))</f>
        <v/>
      </c>
      <c r="Q37" s="46" t="str">
        <f aca="false">IF(I37="","",IFERROR(ROUND(VLOOKUP(INT(I37),'Tank Tables'!$G$5:$H$130,2,FALSE())+(I37-INT(I37))*(VLOOKUP(INT(I37)+1,'Tank Tables'!$G$5:$H$130,2,FALSE())-VLOOKUP(INT(I37),'Tank Tables'!$G$5:$H$130,2,FALSE())),0),IFERROR(ROUND(VLOOKUP(INT(I37),'Tank Tables'!$G$5:$H$130,2,FALSE()),0),"?")))</f>
        <v/>
      </c>
      <c r="R37" s="47" t="str">
        <f aca="false">IF(COUNT(J37:M37)=0,"",SUM(J37:M37))</f>
        <v/>
      </c>
      <c r="S37" s="47" t="str">
        <f aca="false">IF(COUNT(N37:Q37)=0,"",SUM(N37:Q37))</f>
        <v/>
      </c>
      <c r="T37" s="53" t="str">
        <f aca="false">IF(COUNT(R37:S37)=0,"",SUM(R37:S37))</f>
        <v/>
      </c>
      <c r="U37" s="54"/>
      <c r="V37" s="47" t="str">
        <f aca="false">IF(T37="","",IF(T36="","",T36+U37-T37))</f>
        <v/>
      </c>
      <c r="W37" s="46" t="str">
        <f aca="false">IF(T37="","",Settings!$C$7-T37)</f>
        <v/>
      </c>
      <c r="X37" s="46" t="str">
        <f aca="false">IF(T37="","",MAX(0,INT(W37/Settings!$C$8)))</f>
        <v/>
      </c>
      <c r="Y37" s="57" t="str">
        <f aca="false">IF(T37="","",IF(X37&gt;=2,"ROOM FOR "&amp;X37&amp;" TRUCKS",IF(X37=1,"ROOM FOR 1 TRUCK","")))</f>
        <v/>
      </c>
      <c r="Z37" s="54"/>
      <c r="AA37" s="54"/>
      <c r="AB37" s="54"/>
      <c r="AC37" s="47" t="str">
        <f aca="false">IF(COUNT(Z37:AA37)=0,"",SUM(Z37:AA37))</f>
        <v/>
      </c>
      <c r="AD37" s="47" t="str">
        <f aca="false">IF(AC37="","",IF(AC36="","",AC36+AB37-AC37))</f>
        <v/>
      </c>
      <c r="AE37" s="54"/>
      <c r="AF37" s="54"/>
      <c r="AG37" s="47" t="str">
        <f aca="false">IF(AE37="","",IF(AE36="","",AE36+AF37-AE37))</f>
        <v/>
      </c>
      <c r="AH37" s="58"/>
    </row>
    <row r="38" customFormat="false" ht="19.5" hidden="false" customHeight="true" outlineLevel="0" collapsed="false">
      <c r="A38" s="44"/>
      <c r="B38" s="51"/>
      <c r="C38" s="51"/>
      <c r="D38" s="51"/>
      <c r="E38" s="51"/>
      <c r="F38" s="51"/>
      <c r="G38" s="51"/>
      <c r="H38" s="51"/>
      <c r="I38" s="51"/>
      <c r="J38" s="52" t="str">
        <f aca="false">IF(B38="","",IFERROR(ROUND(VLOOKUP(INT(B38),'Tank Tables'!$A$5:$B$121,2,FALSE())+(B38-INT(B38))*(VLOOKUP(INT(B38)+1,'Tank Tables'!$A$5:$B$121,2,FALSE())-VLOOKUP(INT(B38),'Tank Tables'!$A$5:$B$121,2,FALSE())),0),IFERROR(ROUND(VLOOKUP(INT(B38),'Tank Tables'!$A$5:$B$121,2,FALSE()),0),"?")))</f>
        <v/>
      </c>
      <c r="K38" s="52" t="str">
        <f aca="false">IF(C38="","",IFERROR(ROUND(VLOOKUP(INT(C38),'Tank Tables'!$C$5:$D$130,2,FALSE())+(C38-INT(C38))*(VLOOKUP(INT(C38)+1,'Tank Tables'!$C$5:$D$130,2,FALSE())-VLOOKUP(INT(C38),'Tank Tables'!$C$5:$D$130,2,FALSE())),0),IFERROR(ROUND(VLOOKUP(INT(C38),'Tank Tables'!$C$5:$D$130,2,FALSE()),0),"?")))</f>
        <v/>
      </c>
      <c r="L38" s="52" t="str">
        <f aca="false">IF(D38="","",IFERROR(ROUND(VLOOKUP(INT(D38),'Tank Tables'!$E$5:$F$130,2,FALSE())+(D38-INT(D38))*(VLOOKUP(INT(D38)+1,'Tank Tables'!$E$5:$F$130,2,FALSE())-VLOOKUP(INT(D38),'Tank Tables'!$E$5:$F$130,2,FALSE())),0),IFERROR(ROUND(VLOOKUP(INT(D38),'Tank Tables'!$E$5:$F$130,2,FALSE()),0),"?")))</f>
        <v/>
      </c>
      <c r="M38" s="52" t="str">
        <f aca="false">IF(E38="","",IFERROR(ROUND(VLOOKUP(INT(E38),'Tank Tables'!$G$5:$H$130,2,FALSE())+(E38-INT(E38))*(VLOOKUP(INT(E38)+1,'Tank Tables'!$G$5:$H$130,2,FALSE())-VLOOKUP(INT(E38),'Tank Tables'!$G$5:$H$130,2,FALSE())),0),IFERROR(ROUND(VLOOKUP(INT(E38),'Tank Tables'!$G$5:$H$130,2,FALSE()),0),"?")))</f>
        <v/>
      </c>
      <c r="N38" s="52" t="str">
        <f aca="false">IF(F38="","",IFERROR(ROUND(VLOOKUP(INT(F38),'Tank Tables'!$A$5:$B$121,2,FALSE())+(F38-INT(F38))*(VLOOKUP(INT(F38)+1,'Tank Tables'!$A$5:$B$121,2,FALSE())-VLOOKUP(INT(F38),'Tank Tables'!$A$5:$B$121,2,FALSE())),0),IFERROR(ROUND(VLOOKUP(INT(F38),'Tank Tables'!$A$5:$B$121,2,FALSE()),0),"?")))</f>
        <v/>
      </c>
      <c r="O38" s="52" t="str">
        <f aca="false">IF(G38="","",IFERROR(ROUND(VLOOKUP(INT(G38),'Tank Tables'!$C$5:$D$130,2,FALSE())+(G38-INT(G38))*(VLOOKUP(INT(G38)+1,'Tank Tables'!$C$5:$D$130,2,FALSE())-VLOOKUP(INT(G38),'Tank Tables'!$C$5:$D$130,2,FALSE())),0),IFERROR(ROUND(VLOOKUP(INT(G38),'Tank Tables'!$C$5:$D$130,2,FALSE()),0),"?")))</f>
        <v/>
      </c>
      <c r="P38" s="52" t="str">
        <f aca="false">IF(H38="","",IFERROR(ROUND(VLOOKUP(INT(H38),'Tank Tables'!$E$5:$F$130,2,FALSE())+(H38-INT(H38))*(VLOOKUP(INT(H38)+1,'Tank Tables'!$E$5:$F$130,2,FALSE())-VLOOKUP(INT(H38),'Tank Tables'!$E$5:$F$130,2,FALSE())),0),IFERROR(ROUND(VLOOKUP(INT(H38),'Tank Tables'!$E$5:$F$130,2,FALSE()),0),"?")))</f>
        <v/>
      </c>
      <c r="Q38" s="52" t="str">
        <f aca="false">IF(I38="","",IFERROR(ROUND(VLOOKUP(INT(I38),'Tank Tables'!$G$5:$H$130,2,FALSE())+(I38-INT(I38))*(VLOOKUP(INT(I38)+1,'Tank Tables'!$G$5:$H$130,2,FALSE())-VLOOKUP(INT(I38),'Tank Tables'!$G$5:$H$130,2,FALSE())),0),IFERROR(ROUND(VLOOKUP(INT(I38),'Tank Tables'!$G$5:$H$130,2,FALSE()),0),"?")))</f>
        <v/>
      </c>
      <c r="R38" s="47" t="str">
        <f aca="false">IF(COUNT(J38:M38)=0,"",SUM(J38:M38))</f>
        <v/>
      </c>
      <c r="S38" s="47" t="str">
        <f aca="false">IF(COUNT(N38:Q38)=0,"",SUM(N38:Q38))</f>
        <v/>
      </c>
      <c r="T38" s="53" t="str">
        <f aca="false">IF(COUNT(R38:S38)=0,"",SUM(R38:S38))</f>
        <v/>
      </c>
      <c r="U38" s="54"/>
      <c r="V38" s="47" t="str">
        <f aca="false">IF(T38="","",IF(T37="","",T37+U38-T38))</f>
        <v/>
      </c>
      <c r="W38" s="52" t="str">
        <f aca="false">IF(T38="","",Settings!$C$7-T38)</f>
        <v/>
      </c>
      <c r="X38" s="52" t="str">
        <f aca="false">IF(T38="","",MAX(0,INT(W38/Settings!$C$8)))</f>
        <v/>
      </c>
      <c r="Y38" s="55" t="str">
        <f aca="false">IF(T38="","",IF(X38&gt;=2,"ROOM FOR "&amp;X38&amp;" TRUCKS",IF(X38=1,"ROOM FOR 1 TRUCK","")))</f>
        <v/>
      </c>
      <c r="Z38" s="54"/>
      <c r="AA38" s="54"/>
      <c r="AB38" s="54"/>
      <c r="AC38" s="47" t="str">
        <f aca="false">IF(COUNT(Z38:AA38)=0,"",SUM(Z38:AA38))</f>
        <v/>
      </c>
      <c r="AD38" s="47" t="str">
        <f aca="false">IF(AC38="","",IF(AC37="","",AC37+AB38-AC38))</f>
        <v/>
      </c>
      <c r="AE38" s="54"/>
      <c r="AF38" s="54"/>
      <c r="AG38" s="47" t="str">
        <f aca="false">IF(AE38="","",IF(AE37="","",AE37+AF38-AE38))</f>
        <v/>
      </c>
      <c r="AH38" s="59"/>
    </row>
    <row r="39" customFormat="false" ht="19.5" hidden="false" customHeight="true" outlineLevel="0" collapsed="false">
      <c r="A39" s="44"/>
      <c r="B39" s="51"/>
      <c r="C39" s="51"/>
      <c r="D39" s="51"/>
      <c r="E39" s="51"/>
      <c r="F39" s="51"/>
      <c r="G39" s="51"/>
      <c r="H39" s="51"/>
      <c r="I39" s="51"/>
      <c r="J39" s="46" t="str">
        <f aca="false">IF(B39="","",IFERROR(ROUND(VLOOKUP(INT(B39),'Tank Tables'!$A$5:$B$121,2,FALSE())+(B39-INT(B39))*(VLOOKUP(INT(B39)+1,'Tank Tables'!$A$5:$B$121,2,FALSE())-VLOOKUP(INT(B39),'Tank Tables'!$A$5:$B$121,2,FALSE())),0),IFERROR(ROUND(VLOOKUP(INT(B39),'Tank Tables'!$A$5:$B$121,2,FALSE()),0),"?")))</f>
        <v/>
      </c>
      <c r="K39" s="46" t="str">
        <f aca="false">IF(C39="","",IFERROR(ROUND(VLOOKUP(INT(C39),'Tank Tables'!$C$5:$D$130,2,FALSE())+(C39-INT(C39))*(VLOOKUP(INT(C39)+1,'Tank Tables'!$C$5:$D$130,2,FALSE())-VLOOKUP(INT(C39),'Tank Tables'!$C$5:$D$130,2,FALSE())),0),IFERROR(ROUND(VLOOKUP(INT(C39),'Tank Tables'!$C$5:$D$130,2,FALSE()),0),"?")))</f>
        <v/>
      </c>
      <c r="L39" s="46" t="str">
        <f aca="false">IF(D39="","",IFERROR(ROUND(VLOOKUP(INT(D39),'Tank Tables'!$E$5:$F$130,2,FALSE())+(D39-INT(D39))*(VLOOKUP(INT(D39)+1,'Tank Tables'!$E$5:$F$130,2,FALSE())-VLOOKUP(INT(D39),'Tank Tables'!$E$5:$F$130,2,FALSE())),0),IFERROR(ROUND(VLOOKUP(INT(D39),'Tank Tables'!$E$5:$F$130,2,FALSE()),0),"?")))</f>
        <v/>
      </c>
      <c r="M39" s="46" t="str">
        <f aca="false">IF(E39="","",IFERROR(ROUND(VLOOKUP(INT(E39),'Tank Tables'!$G$5:$H$130,2,FALSE())+(E39-INT(E39))*(VLOOKUP(INT(E39)+1,'Tank Tables'!$G$5:$H$130,2,FALSE())-VLOOKUP(INT(E39),'Tank Tables'!$G$5:$H$130,2,FALSE())),0),IFERROR(ROUND(VLOOKUP(INT(E39),'Tank Tables'!$G$5:$H$130,2,FALSE()),0),"?")))</f>
        <v/>
      </c>
      <c r="N39" s="46" t="str">
        <f aca="false">IF(F39="","",IFERROR(ROUND(VLOOKUP(INT(F39),'Tank Tables'!$A$5:$B$121,2,FALSE())+(F39-INT(F39))*(VLOOKUP(INT(F39)+1,'Tank Tables'!$A$5:$B$121,2,FALSE())-VLOOKUP(INT(F39),'Tank Tables'!$A$5:$B$121,2,FALSE())),0),IFERROR(ROUND(VLOOKUP(INT(F39),'Tank Tables'!$A$5:$B$121,2,FALSE()),0),"?")))</f>
        <v/>
      </c>
      <c r="O39" s="46" t="str">
        <f aca="false">IF(G39="","",IFERROR(ROUND(VLOOKUP(INT(G39),'Tank Tables'!$C$5:$D$130,2,FALSE())+(G39-INT(G39))*(VLOOKUP(INT(G39)+1,'Tank Tables'!$C$5:$D$130,2,FALSE())-VLOOKUP(INT(G39),'Tank Tables'!$C$5:$D$130,2,FALSE())),0),IFERROR(ROUND(VLOOKUP(INT(G39),'Tank Tables'!$C$5:$D$130,2,FALSE()),0),"?")))</f>
        <v/>
      </c>
      <c r="P39" s="46" t="str">
        <f aca="false">IF(H39="","",IFERROR(ROUND(VLOOKUP(INT(H39),'Tank Tables'!$E$5:$F$130,2,FALSE())+(H39-INT(H39))*(VLOOKUP(INT(H39)+1,'Tank Tables'!$E$5:$F$130,2,FALSE())-VLOOKUP(INT(H39),'Tank Tables'!$E$5:$F$130,2,FALSE())),0),IFERROR(ROUND(VLOOKUP(INT(H39),'Tank Tables'!$E$5:$F$130,2,FALSE()),0),"?")))</f>
        <v/>
      </c>
      <c r="Q39" s="46" t="str">
        <f aca="false">IF(I39="","",IFERROR(ROUND(VLOOKUP(INT(I39),'Tank Tables'!$G$5:$H$130,2,FALSE())+(I39-INT(I39))*(VLOOKUP(INT(I39)+1,'Tank Tables'!$G$5:$H$130,2,FALSE())-VLOOKUP(INT(I39),'Tank Tables'!$G$5:$H$130,2,FALSE())),0),IFERROR(ROUND(VLOOKUP(INT(I39),'Tank Tables'!$G$5:$H$130,2,FALSE()),0),"?")))</f>
        <v/>
      </c>
      <c r="R39" s="47" t="str">
        <f aca="false">IF(COUNT(J39:M39)=0,"",SUM(J39:M39))</f>
        <v/>
      </c>
      <c r="S39" s="47" t="str">
        <f aca="false">IF(COUNT(N39:Q39)=0,"",SUM(N39:Q39))</f>
        <v/>
      </c>
      <c r="T39" s="53" t="str">
        <f aca="false">IF(COUNT(R39:S39)=0,"",SUM(R39:S39))</f>
        <v/>
      </c>
      <c r="U39" s="54"/>
      <c r="V39" s="47" t="str">
        <f aca="false">IF(T39="","",IF(T38="","",T38+U39-T39))</f>
        <v/>
      </c>
      <c r="W39" s="46" t="str">
        <f aca="false">IF(T39="","",Settings!$C$7-T39)</f>
        <v/>
      </c>
      <c r="X39" s="46" t="str">
        <f aca="false">IF(T39="","",MAX(0,INT(W39/Settings!$C$8)))</f>
        <v/>
      </c>
      <c r="Y39" s="57" t="str">
        <f aca="false">IF(T39="","",IF(X39&gt;=2,"ROOM FOR "&amp;X39&amp;" TRUCKS",IF(X39=1,"ROOM FOR 1 TRUCK","")))</f>
        <v/>
      </c>
      <c r="Z39" s="54"/>
      <c r="AA39" s="54"/>
      <c r="AB39" s="54"/>
      <c r="AC39" s="47" t="str">
        <f aca="false">IF(COUNT(Z39:AA39)=0,"",SUM(Z39:AA39))</f>
        <v/>
      </c>
      <c r="AD39" s="47" t="str">
        <f aca="false">IF(AC39="","",IF(AC38="","",AC38+AB39-AC39))</f>
        <v/>
      </c>
      <c r="AE39" s="54"/>
      <c r="AF39" s="54"/>
      <c r="AG39" s="47" t="str">
        <f aca="false">IF(AE39="","",IF(AE38="","",AE38+AF39-AE39))</f>
        <v/>
      </c>
      <c r="AH39" s="58"/>
    </row>
    <row r="40" customFormat="false" ht="19.5" hidden="false" customHeight="true" outlineLevel="0" collapsed="false">
      <c r="A40" s="44"/>
      <c r="B40" s="51"/>
      <c r="C40" s="51"/>
      <c r="D40" s="51"/>
      <c r="E40" s="51"/>
      <c r="F40" s="51"/>
      <c r="G40" s="51"/>
      <c r="H40" s="51"/>
      <c r="I40" s="51"/>
      <c r="J40" s="52" t="str">
        <f aca="false">IF(B40="","",IFERROR(ROUND(VLOOKUP(INT(B40),'Tank Tables'!$A$5:$B$121,2,FALSE())+(B40-INT(B40))*(VLOOKUP(INT(B40)+1,'Tank Tables'!$A$5:$B$121,2,FALSE())-VLOOKUP(INT(B40),'Tank Tables'!$A$5:$B$121,2,FALSE())),0),IFERROR(ROUND(VLOOKUP(INT(B40),'Tank Tables'!$A$5:$B$121,2,FALSE()),0),"?")))</f>
        <v/>
      </c>
      <c r="K40" s="52" t="str">
        <f aca="false">IF(C40="","",IFERROR(ROUND(VLOOKUP(INT(C40),'Tank Tables'!$C$5:$D$130,2,FALSE())+(C40-INT(C40))*(VLOOKUP(INT(C40)+1,'Tank Tables'!$C$5:$D$130,2,FALSE())-VLOOKUP(INT(C40),'Tank Tables'!$C$5:$D$130,2,FALSE())),0),IFERROR(ROUND(VLOOKUP(INT(C40),'Tank Tables'!$C$5:$D$130,2,FALSE()),0),"?")))</f>
        <v/>
      </c>
      <c r="L40" s="52" t="str">
        <f aca="false">IF(D40="","",IFERROR(ROUND(VLOOKUP(INT(D40),'Tank Tables'!$E$5:$F$130,2,FALSE())+(D40-INT(D40))*(VLOOKUP(INT(D40)+1,'Tank Tables'!$E$5:$F$130,2,FALSE())-VLOOKUP(INT(D40),'Tank Tables'!$E$5:$F$130,2,FALSE())),0),IFERROR(ROUND(VLOOKUP(INT(D40),'Tank Tables'!$E$5:$F$130,2,FALSE()),0),"?")))</f>
        <v/>
      </c>
      <c r="M40" s="52" t="str">
        <f aca="false">IF(E40="","",IFERROR(ROUND(VLOOKUP(INT(E40),'Tank Tables'!$G$5:$H$130,2,FALSE())+(E40-INT(E40))*(VLOOKUP(INT(E40)+1,'Tank Tables'!$G$5:$H$130,2,FALSE())-VLOOKUP(INT(E40),'Tank Tables'!$G$5:$H$130,2,FALSE())),0),IFERROR(ROUND(VLOOKUP(INT(E40),'Tank Tables'!$G$5:$H$130,2,FALSE()),0),"?")))</f>
        <v/>
      </c>
      <c r="N40" s="52" t="str">
        <f aca="false">IF(F40="","",IFERROR(ROUND(VLOOKUP(INT(F40),'Tank Tables'!$A$5:$B$121,2,FALSE())+(F40-INT(F40))*(VLOOKUP(INT(F40)+1,'Tank Tables'!$A$5:$B$121,2,FALSE())-VLOOKUP(INT(F40),'Tank Tables'!$A$5:$B$121,2,FALSE())),0),IFERROR(ROUND(VLOOKUP(INT(F40),'Tank Tables'!$A$5:$B$121,2,FALSE()),0),"?")))</f>
        <v/>
      </c>
      <c r="O40" s="52" t="str">
        <f aca="false">IF(G40="","",IFERROR(ROUND(VLOOKUP(INT(G40),'Tank Tables'!$C$5:$D$130,2,FALSE())+(G40-INT(G40))*(VLOOKUP(INT(G40)+1,'Tank Tables'!$C$5:$D$130,2,FALSE())-VLOOKUP(INT(G40),'Tank Tables'!$C$5:$D$130,2,FALSE())),0),IFERROR(ROUND(VLOOKUP(INT(G40),'Tank Tables'!$C$5:$D$130,2,FALSE()),0),"?")))</f>
        <v/>
      </c>
      <c r="P40" s="52" t="str">
        <f aca="false">IF(H40="","",IFERROR(ROUND(VLOOKUP(INT(H40),'Tank Tables'!$E$5:$F$130,2,FALSE())+(H40-INT(H40))*(VLOOKUP(INT(H40)+1,'Tank Tables'!$E$5:$F$130,2,FALSE())-VLOOKUP(INT(H40),'Tank Tables'!$E$5:$F$130,2,FALSE())),0),IFERROR(ROUND(VLOOKUP(INT(H40),'Tank Tables'!$E$5:$F$130,2,FALSE()),0),"?")))</f>
        <v/>
      </c>
      <c r="Q40" s="52" t="str">
        <f aca="false">IF(I40="","",IFERROR(ROUND(VLOOKUP(INT(I40),'Tank Tables'!$G$5:$H$130,2,FALSE())+(I40-INT(I40))*(VLOOKUP(INT(I40)+1,'Tank Tables'!$G$5:$H$130,2,FALSE())-VLOOKUP(INT(I40),'Tank Tables'!$G$5:$H$130,2,FALSE())),0),IFERROR(ROUND(VLOOKUP(INT(I40),'Tank Tables'!$G$5:$H$130,2,FALSE()),0),"?")))</f>
        <v/>
      </c>
      <c r="R40" s="47" t="str">
        <f aca="false">IF(COUNT(J40:M40)=0,"",SUM(J40:M40))</f>
        <v/>
      </c>
      <c r="S40" s="47" t="str">
        <f aca="false">IF(COUNT(N40:Q40)=0,"",SUM(N40:Q40))</f>
        <v/>
      </c>
      <c r="T40" s="53" t="str">
        <f aca="false">IF(COUNT(R40:S40)=0,"",SUM(R40:S40))</f>
        <v/>
      </c>
      <c r="U40" s="54"/>
      <c r="V40" s="47" t="str">
        <f aca="false">IF(T40="","",IF(T39="","",T39+U40-T40))</f>
        <v/>
      </c>
      <c r="W40" s="52" t="str">
        <f aca="false">IF(T40="","",Settings!$C$7-T40)</f>
        <v/>
      </c>
      <c r="X40" s="52" t="str">
        <f aca="false">IF(T40="","",MAX(0,INT(W40/Settings!$C$8)))</f>
        <v/>
      </c>
      <c r="Y40" s="55" t="str">
        <f aca="false">IF(T40="","",IF(X40&gt;=2,"ROOM FOR "&amp;X40&amp;" TRUCKS",IF(X40=1,"ROOM FOR 1 TRUCK","")))</f>
        <v/>
      </c>
      <c r="Z40" s="54"/>
      <c r="AA40" s="54"/>
      <c r="AB40" s="54"/>
      <c r="AC40" s="47" t="str">
        <f aca="false">IF(COUNT(Z40:AA40)=0,"",SUM(Z40:AA40))</f>
        <v/>
      </c>
      <c r="AD40" s="47" t="str">
        <f aca="false">IF(AC40="","",IF(AC39="","",AC39+AB40-AC40))</f>
        <v/>
      </c>
      <c r="AE40" s="54"/>
      <c r="AF40" s="54"/>
      <c r="AG40" s="47" t="str">
        <f aca="false">IF(AE40="","",IF(AE39="","",AE39+AF40-AE40))</f>
        <v/>
      </c>
      <c r="AH40" s="59"/>
    </row>
    <row r="41" customFormat="false" ht="19.5" hidden="false" customHeight="true" outlineLevel="0" collapsed="false">
      <c r="A41" s="44"/>
      <c r="B41" s="51"/>
      <c r="C41" s="51"/>
      <c r="D41" s="51"/>
      <c r="E41" s="51"/>
      <c r="F41" s="51"/>
      <c r="G41" s="51"/>
      <c r="H41" s="51"/>
      <c r="I41" s="51"/>
      <c r="J41" s="46" t="str">
        <f aca="false">IF(B41="","",IFERROR(ROUND(VLOOKUP(INT(B41),'Tank Tables'!$A$5:$B$121,2,FALSE())+(B41-INT(B41))*(VLOOKUP(INT(B41)+1,'Tank Tables'!$A$5:$B$121,2,FALSE())-VLOOKUP(INT(B41),'Tank Tables'!$A$5:$B$121,2,FALSE())),0),IFERROR(ROUND(VLOOKUP(INT(B41),'Tank Tables'!$A$5:$B$121,2,FALSE()),0),"?")))</f>
        <v/>
      </c>
      <c r="K41" s="46" t="str">
        <f aca="false">IF(C41="","",IFERROR(ROUND(VLOOKUP(INT(C41),'Tank Tables'!$C$5:$D$130,2,FALSE())+(C41-INT(C41))*(VLOOKUP(INT(C41)+1,'Tank Tables'!$C$5:$D$130,2,FALSE())-VLOOKUP(INT(C41),'Tank Tables'!$C$5:$D$130,2,FALSE())),0),IFERROR(ROUND(VLOOKUP(INT(C41),'Tank Tables'!$C$5:$D$130,2,FALSE()),0),"?")))</f>
        <v/>
      </c>
      <c r="L41" s="46" t="str">
        <f aca="false">IF(D41="","",IFERROR(ROUND(VLOOKUP(INT(D41),'Tank Tables'!$E$5:$F$130,2,FALSE())+(D41-INT(D41))*(VLOOKUP(INT(D41)+1,'Tank Tables'!$E$5:$F$130,2,FALSE())-VLOOKUP(INT(D41),'Tank Tables'!$E$5:$F$130,2,FALSE())),0),IFERROR(ROUND(VLOOKUP(INT(D41),'Tank Tables'!$E$5:$F$130,2,FALSE()),0),"?")))</f>
        <v/>
      </c>
      <c r="M41" s="46" t="str">
        <f aca="false">IF(E41="","",IFERROR(ROUND(VLOOKUP(INT(E41),'Tank Tables'!$G$5:$H$130,2,FALSE())+(E41-INT(E41))*(VLOOKUP(INT(E41)+1,'Tank Tables'!$G$5:$H$130,2,FALSE())-VLOOKUP(INT(E41),'Tank Tables'!$G$5:$H$130,2,FALSE())),0),IFERROR(ROUND(VLOOKUP(INT(E41),'Tank Tables'!$G$5:$H$130,2,FALSE()),0),"?")))</f>
        <v/>
      </c>
      <c r="N41" s="46" t="str">
        <f aca="false">IF(F41="","",IFERROR(ROUND(VLOOKUP(INT(F41),'Tank Tables'!$A$5:$B$121,2,FALSE())+(F41-INT(F41))*(VLOOKUP(INT(F41)+1,'Tank Tables'!$A$5:$B$121,2,FALSE())-VLOOKUP(INT(F41),'Tank Tables'!$A$5:$B$121,2,FALSE())),0),IFERROR(ROUND(VLOOKUP(INT(F41),'Tank Tables'!$A$5:$B$121,2,FALSE()),0),"?")))</f>
        <v/>
      </c>
      <c r="O41" s="46" t="str">
        <f aca="false">IF(G41="","",IFERROR(ROUND(VLOOKUP(INT(G41),'Tank Tables'!$C$5:$D$130,2,FALSE())+(G41-INT(G41))*(VLOOKUP(INT(G41)+1,'Tank Tables'!$C$5:$D$130,2,FALSE())-VLOOKUP(INT(G41),'Tank Tables'!$C$5:$D$130,2,FALSE())),0),IFERROR(ROUND(VLOOKUP(INT(G41),'Tank Tables'!$C$5:$D$130,2,FALSE()),0),"?")))</f>
        <v/>
      </c>
      <c r="P41" s="46" t="str">
        <f aca="false">IF(H41="","",IFERROR(ROUND(VLOOKUP(INT(H41),'Tank Tables'!$E$5:$F$130,2,FALSE())+(H41-INT(H41))*(VLOOKUP(INT(H41)+1,'Tank Tables'!$E$5:$F$130,2,FALSE())-VLOOKUP(INT(H41),'Tank Tables'!$E$5:$F$130,2,FALSE())),0),IFERROR(ROUND(VLOOKUP(INT(H41),'Tank Tables'!$E$5:$F$130,2,FALSE()),0),"?")))</f>
        <v/>
      </c>
      <c r="Q41" s="46" t="str">
        <f aca="false">IF(I41="","",IFERROR(ROUND(VLOOKUP(INT(I41),'Tank Tables'!$G$5:$H$130,2,FALSE())+(I41-INT(I41))*(VLOOKUP(INT(I41)+1,'Tank Tables'!$G$5:$H$130,2,FALSE())-VLOOKUP(INT(I41),'Tank Tables'!$G$5:$H$130,2,FALSE())),0),IFERROR(ROUND(VLOOKUP(INT(I41),'Tank Tables'!$G$5:$H$130,2,FALSE()),0),"?")))</f>
        <v/>
      </c>
      <c r="R41" s="47" t="str">
        <f aca="false">IF(COUNT(J41:M41)=0,"",SUM(J41:M41))</f>
        <v/>
      </c>
      <c r="S41" s="47" t="str">
        <f aca="false">IF(COUNT(N41:Q41)=0,"",SUM(N41:Q41))</f>
        <v/>
      </c>
      <c r="T41" s="53" t="str">
        <f aca="false">IF(COUNT(R41:S41)=0,"",SUM(R41:S41))</f>
        <v/>
      </c>
      <c r="U41" s="54"/>
      <c r="V41" s="47" t="str">
        <f aca="false">IF(T41="","",IF(T40="","",T40+U41-T41))</f>
        <v/>
      </c>
      <c r="W41" s="46" t="str">
        <f aca="false">IF(T41="","",Settings!$C$7-T41)</f>
        <v/>
      </c>
      <c r="X41" s="46" t="str">
        <f aca="false">IF(T41="","",MAX(0,INT(W41/Settings!$C$8)))</f>
        <v/>
      </c>
      <c r="Y41" s="57" t="str">
        <f aca="false">IF(T41="","",IF(X41&gt;=2,"ROOM FOR "&amp;X41&amp;" TRUCKS",IF(X41=1,"ROOM FOR 1 TRUCK","")))</f>
        <v/>
      </c>
      <c r="Z41" s="54"/>
      <c r="AA41" s="54"/>
      <c r="AB41" s="54"/>
      <c r="AC41" s="47" t="str">
        <f aca="false">IF(COUNT(Z41:AA41)=0,"",SUM(Z41:AA41))</f>
        <v/>
      </c>
      <c r="AD41" s="47" t="str">
        <f aca="false">IF(AC41="","",IF(AC40="","",AC40+AB41-AC41))</f>
        <v/>
      </c>
      <c r="AE41" s="54"/>
      <c r="AF41" s="54"/>
      <c r="AG41" s="47" t="str">
        <f aca="false">IF(AE41="","",IF(AE40="","",AE40+AF41-AE41))</f>
        <v/>
      </c>
      <c r="AH41" s="58"/>
    </row>
    <row r="42" customFormat="false" ht="19.5" hidden="false" customHeight="true" outlineLevel="0" collapsed="false">
      <c r="A42" s="44"/>
      <c r="B42" s="51"/>
      <c r="C42" s="51"/>
      <c r="D42" s="51"/>
      <c r="E42" s="51"/>
      <c r="F42" s="51"/>
      <c r="G42" s="51"/>
      <c r="H42" s="51"/>
      <c r="I42" s="51"/>
      <c r="J42" s="52" t="str">
        <f aca="false">IF(B42="","",IFERROR(ROUND(VLOOKUP(INT(B42),'Tank Tables'!$A$5:$B$121,2,FALSE())+(B42-INT(B42))*(VLOOKUP(INT(B42)+1,'Tank Tables'!$A$5:$B$121,2,FALSE())-VLOOKUP(INT(B42),'Tank Tables'!$A$5:$B$121,2,FALSE())),0),IFERROR(ROUND(VLOOKUP(INT(B42),'Tank Tables'!$A$5:$B$121,2,FALSE()),0),"?")))</f>
        <v/>
      </c>
      <c r="K42" s="52" t="str">
        <f aca="false">IF(C42="","",IFERROR(ROUND(VLOOKUP(INT(C42),'Tank Tables'!$C$5:$D$130,2,FALSE())+(C42-INT(C42))*(VLOOKUP(INT(C42)+1,'Tank Tables'!$C$5:$D$130,2,FALSE())-VLOOKUP(INT(C42),'Tank Tables'!$C$5:$D$130,2,FALSE())),0),IFERROR(ROUND(VLOOKUP(INT(C42),'Tank Tables'!$C$5:$D$130,2,FALSE()),0),"?")))</f>
        <v/>
      </c>
      <c r="L42" s="52" t="str">
        <f aca="false">IF(D42="","",IFERROR(ROUND(VLOOKUP(INT(D42),'Tank Tables'!$E$5:$F$130,2,FALSE())+(D42-INT(D42))*(VLOOKUP(INT(D42)+1,'Tank Tables'!$E$5:$F$130,2,FALSE())-VLOOKUP(INT(D42),'Tank Tables'!$E$5:$F$130,2,FALSE())),0),IFERROR(ROUND(VLOOKUP(INT(D42),'Tank Tables'!$E$5:$F$130,2,FALSE()),0),"?")))</f>
        <v/>
      </c>
      <c r="M42" s="52" t="str">
        <f aca="false">IF(E42="","",IFERROR(ROUND(VLOOKUP(INT(E42),'Tank Tables'!$G$5:$H$130,2,FALSE())+(E42-INT(E42))*(VLOOKUP(INT(E42)+1,'Tank Tables'!$G$5:$H$130,2,FALSE())-VLOOKUP(INT(E42),'Tank Tables'!$G$5:$H$130,2,FALSE())),0),IFERROR(ROUND(VLOOKUP(INT(E42),'Tank Tables'!$G$5:$H$130,2,FALSE()),0),"?")))</f>
        <v/>
      </c>
      <c r="N42" s="52" t="str">
        <f aca="false">IF(F42="","",IFERROR(ROUND(VLOOKUP(INT(F42),'Tank Tables'!$A$5:$B$121,2,FALSE())+(F42-INT(F42))*(VLOOKUP(INT(F42)+1,'Tank Tables'!$A$5:$B$121,2,FALSE())-VLOOKUP(INT(F42),'Tank Tables'!$A$5:$B$121,2,FALSE())),0),IFERROR(ROUND(VLOOKUP(INT(F42),'Tank Tables'!$A$5:$B$121,2,FALSE()),0),"?")))</f>
        <v/>
      </c>
      <c r="O42" s="52" t="str">
        <f aca="false">IF(G42="","",IFERROR(ROUND(VLOOKUP(INT(G42),'Tank Tables'!$C$5:$D$130,2,FALSE())+(G42-INT(G42))*(VLOOKUP(INT(G42)+1,'Tank Tables'!$C$5:$D$130,2,FALSE())-VLOOKUP(INT(G42),'Tank Tables'!$C$5:$D$130,2,FALSE())),0),IFERROR(ROUND(VLOOKUP(INT(G42),'Tank Tables'!$C$5:$D$130,2,FALSE()),0),"?")))</f>
        <v/>
      </c>
      <c r="P42" s="52" t="str">
        <f aca="false">IF(H42="","",IFERROR(ROUND(VLOOKUP(INT(H42),'Tank Tables'!$E$5:$F$130,2,FALSE())+(H42-INT(H42))*(VLOOKUP(INT(H42)+1,'Tank Tables'!$E$5:$F$130,2,FALSE())-VLOOKUP(INT(H42),'Tank Tables'!$E$5:$F$130,2,FALSE())),0),IFERROR(ROUND(VLOOKUP(INT(H42),'Tank Tables'!$E$5:$F$130,2,FALSE()),0),"?")))</f>
        <v/>
      </c>
      <c r="Q42" s="52" t="str">
        <f aca="false">IF(I42="","",IFERROR(ROUND(VLOOKUP(INT(I42),'Tank Tables'!$G$5:$H$130,2,FALSE())+(I42-INT(I42))*(VLOOKUP(INT(I42)+1,'Tank Tables'!$G$5:$H$130,2,FALSE())-VLOOKUP(INT(I42),'Tank Tables'!$G$5:$H$130,2,FALSE())),0),IFERROR(ROUND(VLOOKUP(INT(I42),'Tank Tables'!$G$5:$H$130,2,FALSE()),0),"?")))</f>
        <v/>
      </c>
      <c r="R42" s="47" t="str">
        <f aca="false">IF(COUNT(J42:M42)=0,"",SUM(J42:M42))</f>
        <v/>
      </c>
      <c r="S42" s="47" t="str">
        <f aca="false">IF(COUNT(N42:Q42)=0,"",SUM(N42:Q42))</f>
        <v/>
      </c>
      <c r="T42" s="53" t="str">
        <f aca="false">IF(COUNT(R42:S42)=0,"",SUM(R42:S42))</f>
        <v/>
      </c>
      <c r="U42" s="54"/>
      <c r="V42" s="47" t="str">
        <f aca="false">IF(T42="","",IF(T41="","",T41+U42-T42))</f>
        <v/>
      </c>
      <c r="W42" s="52" t="str">
        <f aca="false">IF(T42="","",Settings!$C$7-T42)</f>
        <v/>
      </c>
      <c r="X42" s="52" t="str">
        <f aca="false">IF(T42="","",MAX(0,INT(W42/Settings!$C$8)))</f>
        <v/>
      </c>
      <c r="Y42" s="55" t="str">
        <f aca="false">IF(T42="","",IF(X42&gt;=2,"ROOM FOR "&amp;X42&amp;" TRUCKS",IF(X42=1,"ROOM FOR 1 TRUCK","")))</f>
        <v/>
      </c>
      <c r="Z42" s="54"/>
      <c r="AA42" s="54"/>
      <c r="AB42" s="54"/>
      <c r="AC42" s="47" t="str">
        <f aca="false">IF(COUNT(Z42:AA42)=0,"",SUM(Z42:AA42))</f>
        <v/>
      </c>
      <c r="AD42" s="47" t="str">
        <f aca="false">IF(AC42="","",IF(AC41="","",AC41+AB42-AC42))</f>
        <v/>
      </c>
      <c r="AE42" s="54"/>
      <c r="AF42" s="54"/>
      <c r="AG42" s="47" t="str">
        <f aca="false">IF(AE42="","",IF(AE41="","",AE41+AF42-AE42))</f>
        <v/>
      </c>
      <c r="AH42" s="59"/>
    </row>
    <row r="43" customFormat="false" ht="19.5" hidden="false" customHeight="true" outlineLevel="0" collapsed="false">
      <c r="A43" s="44"/>
      <c r="B43" s="51"/>
      <c r="C43" s="51"/>
      <c r="D43" s="51"/>
      <c r="E43" s="51"/>
      <c r="F43" s="51"/>
      <c r="G43" s="51"/>
      <c r="H43" s="51"/>
      <c r="I43" s="51"/>
      <c r="J43" s="46" t="str">
        <f aca="false">IF(B43="","",IFERROR(ROUND(VLOOKUP(INT(B43),'Tank Tables'!$A$5:$B$121,2,FALSE())+(B43-INT(B43))*(VLOOKUP(INT(B43)+1,'Tank Tables'!$A$5:$B$121,2,FALSE())-VLOOKUP(INT(B43),'Tank Tables'!$A$5:$B$121,2,FALSE())),0),IFERROR(ROUND(VLOOKUP(INT(B43),'Tank Tables'!$A$5:$B$121,2,FALSE()),0),"?")))</f>
        <v/>
      </c>
      <c r="K43" s="46" t="str">
        <f aca="false">IF(C43="","",IFERROR(ROUND(VLOOKUP(INT(C43),'Tank Tables'!$C$5:$D$130,2,FALSE())+(C43-INT(C43))*(VLOOKUP(INT(C43)+1,'Tank Tables'!$C$5:$D$130,2,FALSE())-VLOOKUP(INT(C43),'Tank Tables'!$C$5:$D$130,2,FALSE())),0),IFERROR(ROUND(VLOOKUP(INT(C43),'Tank Tables'!$C$5:$D$130,2,FALSE()),0),"?")))</f>
        <v/>
      </c>
      <c r="L43" s="46" t="str">
        <f aca="false">IF(D43="","",IFERROR(ROUND(VLOOKUP(INT(D43),'Tank Tables'!$E$5:$F$130,2,FALSE())+(D43-INT(D43))*(VLOOKUP(INT(D43)+1,'Tank Tables'!$E$5:$F$130,2,FALSE())-VLOOKUP(INT(D43),'Tank Tables'!$E$5:$F$130,2,FALSE())),0),IFERROR(ROUND(VLOOKUP(INT(D43),'Tank Tables'!$E$5:$F$130,2,FALSE()),0),"?")))</f>
        <v/>
      </c>
      <c r="M43" s="46" t="str">
        <f aca="false">IF(E43="","",IFERROR(ROUND(VLOOKUP(INT(E43),'Tank Tables'!$G$5:$H$130,2,FALSE())+(E43-INT(E43))*(VLOOKUP(INT(E43)+1,'Tank Tables'!$G$5:$H$130,2,FALSE())-VLOOKUP(INT(E43),'Tank Tables'!$G$5:$H$130,2,FALSE())),0),IFERROR(ROUND(VLOOKUP(INT(E43),'Tank Tables'!$G$5:$H$130,2,FALSE()),0),"?")))</f>
        <v/>
      </c>
      <c r="N43" s="46" t="str">
        <f aca="false">IF(F43="","",IFERROR(ROUND(VLOOKUP(INT(F43),'Tank Tables'!$A$5:$B$121,2,FALSE())+(F43-INT(F43))*(VLOOKUP(INT(F43)+1,'Tank Tables'!$A$5:$B$121,2,FALSE())-VLOOKUP(INT(F43),'Tank Tables'!$A$5:$B$121,2,FALSE())),0),IFERROR(ROUND(VLOOKUP(INT(F43),'Tank Tables'!$A$5:$B$121,2,FALSE()),0),"?")))</f>
        <v/>
      </c>
      <c r="O43" s="46" t="str">
        <f aca="false">IF(G43="","",IFERROR(ROUND(VLOOKUP(INT(G43),'Tank Tables'!$C$5:$D$130,2,FALSE())+(G43-INT(G43))*(VLOOKUP(INT(G43)+1,'Tank Tables'!$C$5:$D$130,2,FALSE())-VLOOKUP(INT(G43),'Tank Tables'!$C$5:$D$130,2,FALSE())),0),IFERROR(ROUND(VLOOKUP(INT(G43),'Tank Tables'!$C$5:$D$130,2,FALSE()),0),"?")))</f>
        <v/>
      </c>
      <c r="P43" s="46" t="str">
        <f aca="false">IF(H43="","",IFERROR(ROUND(VLOOKUP(INT(H43),'Tank Tables'!$E$5:$F$130,2,FALSE())+(H43-INT(H43))*(VLOOKUP(INT(H43)+1,'Tank Tables'!$E$5:$F$130,2,FALSE())-VLOOKUP(INT(H43),'Tank Tables'!$E$5:$F$130,2,FALSE())),0),IFERROR(ROUND(VLOOKUP(INT(H43),'Tank Tables'!$E$5:$F$130,2,FALSE()),0),"?")))</f>
        <v/>
      </c>
      <c r="Q43" s="46" t="str">
        <f aca="false">IF(I43="","",IFERROR(ROUND(VLOOKUP(INT(I43),'Tank Tables'!$G$5:$H$130,2,FALSE())+(I43-INT(I43))*(VLOOKUP(INT(I43)+1,'Tank Tables'!$G$5:$H$130,2,FALSE())-VLOOKUP(INT(I43),'Tank Tables'!$G$5:$H$130,2,FALSE())),0),IFERROR(ROUND(VLOOKUP(INT(I43),'Tank Tables'!$G$5:$H$130,2,FALSE()),0),"?")))</f>
        <v/>
      </c>
      <c r="R43" s="47" t="str">
        <f aca="false">IF(COUNT(J43:M43)=0,"",SUM(J43:M43))</f>
        <v/>
      </c>
      <c r="S43" s="47" t="str">
        <f aca="false">IF(COUNT(N43:Q43)=0,"",SUM(N43:Q43))</f>
        <v/>
      </c>
      <c r="T43" s="53" t="str">
        <f aca="false">IF(COUNT(R43:S43)=0,"",SUM(R43:S43))</f>
        <v/>
      </c>
      <c r="U43" s="54"/>
      <c r="V43" s="47" t="str">
        <f aca="false">IF(T43="","",IF(T42="","",T42+U43-T43))</f>
        <v/>
      </c>
      <c r="W43" s="46" t="str">
        <f aca="false">IF(T43="","",Settings!$C$7-T43)</f>
        <v/>
      </c>
      <c r="X43" s="46" t="str">
        <f aca="false">IF(T43="","",MAX(0,INT(W43/Settings!$C$8)))</f>
        <v/>
      </c>
      <c r="Y43" s="57" t="str">
        <f aca="false">IF(T43="","",IF(X43&gt;=2,"ROOM FOR "&amp;X43&amp;" TRUCKS",IF(X43=1,"ROOM FOR 1 TRUCK","")))</f>
        <v/>
      </c>
      <c r="Z43" s="54"/>
      <c r="AA43" s="54"/>
      <c r="AB43" s="54"/>
      <c r="AC43" s="47" t="str">
        <f aca="false">IF(COUNT(Z43:AA43)=0,"",SUM(Z43:AA43))</f>
        <v/>
      </c>
      <c r="AD43" s="47" t="str">
        <f aca="false">IF(AC43="","",IF(AC42="","",AC42+AB43-AC43))</f>
        <v/>
      </c>
      <c r="AE43" s="54"/>
      <c r="AF43" s="54"/>
      <c r="AG43" s="47" t="str">
        <f aca="false">IF(AE43="","",IF(AE42="","",AE42+AF43-AE43))</f>
        <v/>
      </c>
      <c r="AH43" s="58"/>
    </row>
    <row r="44" customFormat="false" ht="19.5" hidden="false" customHeight="true" outlineLevel="0" collapsed="false">
      <c r="A44" s="44"/>
      <c r="B44" s="51"/>
      <c r="C44" s="51"/>
      <c r="D44" s="51"/>
      <c r="E44" s="51"/>
      <c r="F44" s="51"/>
      <c r="G44" s="51"/>
      <c r="H44" s="51"/>
      <c r="I44" s="51"/>
      <c r="J44" s="52" t="str">
        <f aca="false">IF(B44="","",IFERROR(ROUND(VLOOKUP(INT(B44),'Tank Tables'!$A$5:$B$121,2,FALSE())+(B44-INT(B44))*(VLOOKUP(INT(B44)+1,'Tank Tables'!$A$5:$B$121,2,FALSE())-VLOOKUP(INT(B44),'Tank Tables'!$A$5:$B$121,2,FALSE())),0),IFERROR(ROUND(VLOOKUP(INT(B44),'Tank Tables'!$A$5:$B$121,2,FALSE()),0),"?")))</f>
        <v/>
      </c>
      <c r="K44" s="52" t="str">
        <f aca="false">IF(C44="","",IFERROR(ROUND(VLOOKUP(INT(C44),'Tank Tables'!$C$5:$D$130,2,FALSE())+(C44-INT(C44))*(VLOOKUP(INT(C44)+1,'Tank Tables'!$C$5:$D$130,2,FALSE())-VLOOKUP(INT(C44),'Tank Tables'!$C$5:$D$130,2,FALSE())),0),IFERROR(ROUND(VLOOKUP(INT(C44),'Tank Tables'!$C$5:$D$130,2,FALSE()),0),"?")))</f>
        <v/>
      </c>
      <c r="L44" s="52" t="str">
        <f aca="false">IF(D44="","",IFERROR(ROUND(VLOOKUP(INT(D44),'Tank Tables'!$E$5:$F$130,2,FALSE())+(D44-INT(D44))*(VLOOKUP(INT(D44)+1,'Tank Tables'!$E$5:$F$130,2,FALSE())-VLOOKUP(INT(D44),'Tank Tables'!$E$5:$F$130,2,FALSE())),0),IFERROR(ROUND(VLOOKUP(INT(D44),'Tank Tables'!$E$5:$F$130,2,FALSE()),0),"?")))</f>
        <v/>
      </c>
      <c r="M44" s="52" t="str">
        <f aca="false">IF(E44="","",IFERROR(ROUND(VLOOKUP(INT(E44),'Tank Tables'!$G$5:$H$130,2,FALSE())+(E44-INT(E44))*(VLOOKUP(INT(E44)+1,'Tank Tables'!$G$5:$H$130,2,FALSE())-VLOOKUP(INT(E44),'Tank Tables'!$G$5:$H$130,2,FALSE())),0),IFERROR(ROUND(VLOOKUP(INT(E44),'Tank Tables'!$G$5:$H$130,2,FALSE()),0),"?")))</f>
        <v/>
      </c>
      <c r="N44" s="52" t="str">
        <f aca="false">IF(F44="","",IFERROR(ROUND(VLOOKUP(INT(F44),'Tank Tables'!$A$5:$B$121,2,FALSE())+(F44-INT(F44))*(VLOOKUP(INT(F44)+1,'Tank Tables'!$A$5:$B$121,2,FALSE())-VLOOKUP(INT(F44),'Tank Tables'!$A$5:$B$121,2,FALSE())),0),IFERROR(ROUND(VLOOKUP(INT(F44),'Tank Tables'!$A$5:$B$121,2,FALSE()),0),"?")))</f>
        <v/>
      </c>
      <c r="O44" s="52" t="str">
        <f aca="false">IF(G44="","",IFERROR(ROUND(VLOOKUP(INT(G44),'Tank Tables'!$C$5:$D$130,2,FALSE())+(G44-INT(G44))*(VLOOKUP(INT(G44)+1,'Tank Tables'!$C$5:$D$130,2,FALSE())-VLOOKUP(INT(G44),'Tank Tables'!$C$5:$D$130,2,FALSE())),0),IFERROR(ROUND(VLOOKUP(INT(G44),'Tank Tables'!$C$5:$D$130,2,FALSE()),0),"?")))</f>
        <v/>
      </c>
      <c r="P44" s="52" t="str">
        <f aca="false">IF(H44="","",IFERROR(ROUND(VLOOKUP(INT(H44),'Tank Tables'!$E$5:$F$130,2,FALSE())+(H44-INT(H44))*(VLOOKUP(INT(H44)+1,'Tank Tables'!$E$5:$F$130,2,FALSE())-VLOOKUP(INT(H44),'Tank Tables'!$E$5:$F$130,2,FALSE())),0),IFERROR(ROUND(VLOOKUP(INT(H44),'Tank Tables'!$E$5:$F$130,2,FALSE()),0),"?")))</f>
        <v/>
      </c>
      <c r="Q44" s="52" t="str">
        <f aca="false">IF(I44="","",IFERROR(ROUND(VLOOKUP(INT(I44),'Tank Tables'!$G$5:$H$130,2,FALSE())+(I44-INT(I44))*(VLOOKUP(INT(I44)+1,'Tank Tables'!$G$5:$H$130,2,FALSE())-VLOOKUP(INT(I44),'Tank Tables'!$G$5:$H$130,2,FALSE())),0),IFERROR(ROUND(VLOOKUP(INT(I44),'Tank Tables'!$G$5:$H$130,2,FALSE()),0),"?")))</f>
        <v/>
      </c>
      <c r="R44" s="47" t="str">
        <f aca="false">IF(COUNT(J44:M44)=0,"",SUM(J44:M44))</f>
        <v/>
      </c>
      <c r="S44" s="47" t="str">
        <f aca="false">IF(COUNT(N44:Q44)=0,"",SUM(N44:Q44))</f>
        <v/>
      </c>
      <c r="T44" s="53" t="str">
        <f aca="false">IF(COUNT(R44:S44)=0,"",SUM(R44:S44))</f>
        <v/>
      </c>
      <c r="U44" s="54"/>
      <c r="V44" s="47" t="str">
        <f aca="false">IF(T44="","",IF(T43="","",T43+U44-T44))</f>
        <v/>
      </c>
      <c r="W44" s="52" t="str">
        <f aca="false">IF(T44="","",Settings!$C$7-T44)</f>
        <v/>
      </c>
      <c r="X44" s="52" t="str">
        <f aca="false">IF(T44="","",MAX(0,INT(W44/Settings!$C$8)))</f>
        <v/>
      </c>
      <c r="Y44" s="55" t="str">
        <f aca="false">IF(T44="","",IF(X44&gt;=2,"ROOM FOR "&amp;X44&amp;" TRUCKS",IF(X44=1,"ROOM FOR 1 TRUCK","")))</f>
        <v/>
      </c>
      <c r="Z44" s="54"/>
      <c r="AA44" s="54"/>
      <c r="AB44" s="54"/>
      <c r="AC44" s="47" t="str">
        <f aca="false">IF(COUNT(Z44:AA44)=0,"",SUM(Z44:AA44))</f>
        <v/>
      </c>
      <c r="AD44" s="47" t="str">
        <f aca="false">IF(AC44="","",IF(AC43="","",AC43+AB44-AC44))</f>
        <v/>
      </c>
      <c r="AE44" s="54"/>
      <c r="AF44" s="54"/>
      <c r="AG44" s="47" t="str">
        <f aca="false">IF(AE44="","",IF(AE43="","",AE43+AF44-AE44))</f>
        <v/>
      </c>
      <c r="AH44" s="59"/>
    </row>
    <row r="45" customFormat="false" ht="19.5" hidden="false" customHeight="true" outlineLevel="0" collapsed="false">
      <c r="A45" s="44"/>
      <c r="B45" s="51"/>
      <c r="C45" s="51"/>
      <c r="D45" s="51"/>
      <c r="E45" s="51"/>
      <c r="F45" s="51"/>
      <c r="G45" s="51"/>
      <c r="H45" s="51"/>
      <c r="I45" s="51"/>
      <c r="J45" s="46" t="str">
        <f aca="false">IF(B45="","",IFERROR(ROUND(VLOOKUP(INT(B45),'Tank Tables'!$A$5:$B$121,2,FALSE())+(B45-INT(B45))*(VLOOKUP(INT(B45)+1,'Tank Tables'!$A$5:$B$121,2,FALSE())-VLOOKUP(INT(B45),'Tank Tables'!$A$5:$B$121,2,FALSE())),0),IFERROR(ROUND(VLOOKUP(INT(B45),'Tank Tables'!$A$5:$B$121,2,FALSE()),0),"?")))</f>
        <v/>
      </c>
      <c r="K45" s="46" t="str">
        <f aca="false">IF(C45="","",IFERROR(ROUND(VLOOKUP(INT(C45),'Tank Tables'!$C$5:$D$130,2,FALSE())+(C45-INT(C45))*(VLOOKUP(INT(C45)+1,'Tank Tables'!$C$5:$D$130,2,FALSE())-VLOOKUP(INT(C45),'Tank Tables'!$C$5:$D$130,2,FALSE())),0),IFERROR(ROUND(VLOOKUP(INT(C45),'Tank Tables'!$C$5:$D$130,2,FALSE()),0),"?")))</f>
        <v/>
      </c>
      <c r="L45" s="46" t="str">
        <f aca="false">IF(D45="","",IFERROR(ROUND(VLOOKUP(INT(D45),'Tank Tables'!$E$5:$F$130,2,FALSE())+(D45-INT(D45))*(VLOOKUP(INT(D45)+1,'Tank Tables'!$E$5:$F$130,2,FALSE())-VLOOKUP(INT(D45),'Tank Tables'!$E$5:$F$130,2,FALSE())),0),IFERROR(ROUND(VLOOKUP(INT(D45),'Tank Tables'!$E$5:$F$130,2,FALSE()),0),"?")))</f>
        <v/>
      </c>
      <c r="M45" s="46" t="str">
        <f aca="false">IF(E45="","",IFERROR(ROUND(VLOOKUP(INT(E45),'Tank Tables'!$G$5:$H$130,2,FALSE())+(E45-INT(E45))*(VLOOKUP(INT(E45)+1,'Tank Tables'!$G$5:$H$130,2,FALSE())-VLOOKUP(INT(E45),'Tank Tables'!$G$5:$H$130,2,FALSE())),0),IFERROR(ROUND(VLOOKUP(INT(E45),'Tank Tables'!$G$5:$H$130,2,FALSE()),0),"?")))</f>
        <v/>
      </c>
      <c r="N45" s="46" t="str">
        <f aca="false">IF(F45="","",IFERROR(ROUND(VLOOKUP(INT(F45),'Tank Tables'!$A$5:$B$121,2,FALSE())+(F45-INT(F45))*(VLOOKUP(INT(F45)+1,'Tank Tables'!$A$5:$B$121,2,FALSE())-VLOOKUP(INT(F45),'Tank Tables'!$A$5:$B$121,2,FALSE())),0),IFERROR(ROUND(VLOOKUP(INT(F45),'Tank Tables'!$A$5:$B$121,2,FALSE()),0),"?")))</f>
        <v/>
      </c>
      <c r="O45" s="46" t="str">
        <f aca="false">IF(G45="","",IFERROR(ROUND(VLOOKUP(INT(G45),'Tank Tables'!$C$5:$D$130,2,FALSE())+(G45-INT(G45))*(VLOOKUP(INT(G45)+1,'Tank Tables'!$C$5:$D$130,2,FALSE())-VLOOKUP(INT(G45),'Tank Tables'!$C$5:$D$130,2,FALSE())),0),IFERROR(ROUND(VLOOKUP(INT(G45),'Tank Tables'!$C$5:$D$130,2,FALSE()),0),"?")))</f>
        <v/>
      </c>
      <c r="P45" s="46" t="str">
        <f aca="false">IF(H45="","",IFERROR(ROUND(VLOOKUP(INT(H45),'Tank Tables'!$E$5:$F$130,2,FALSE())+(H45-INT(H45))*(VLOOKUP(INT(H45)+1,'Tank Tables'!$E$5:$F$130,2,FALSE())-VLOOKUP(INT(H45),'Tank Tables'!$E$5:$F$130,2,FALSE())),0),IFERROR(ROUND(VLOOKUP(INT(H45),'Tank Tables'!$E$5:$F$130,2,FALSE()),0),"?")))</f>
        <v/>
      </c>
      <c r="Q45" s="46" t="str">
        <f aca="false">IF(I45="","",IFERROR(ROUND(VLOOKUP(INT(I45),'Tank Tables'!$G$5:$H$130,2,FALSE())+(I45-INT(I45))*(VLOOKUP(INT(I45)+1,'Tank Tables'!$G$5:$H$130,2,FALSE())-VLOOKUP(INT(I45),'Tank Tables'!$G$5:$H$130,2,FALSE())),0),IFERROR(ROUND(VLOOKUP(INT(I45),'Tank Tables'!$G$5:$H$130,2,FALSE()),0),"?")))</f>
        <v/>
      </c>
      <c r="R45" s="47" t="str">
        <f aca="false">IF(COUNT(J45:M45)=0,"",SUM(J45:M45))</f>
        <v/>
      </c>
      <c r="S45" s="47" t="str">
        <f aca="false">IF(COUNT(N45:Q45)=0,"",SUM(N45:Q45))</f>
        <v/>
      </c>
      <c r="T45" s="53" t="str">
        <f aca="false">IF(COUNT(R45:S45)=0,"",SUM(R45:S45))</f>
        <v/>
      </c>
      <c r="U45" s="54"/>
      <c r="V45" s="47" t="str">
        <f aca="false">IF(T45="","",IF(T44="","",T44+U45-T45))</f>
        <v/>
      </c>
      <c r="W45" s="46" t="str">
        <f aca="false">IF(T45="","",Settings!$C$7-T45)</f>
        <v/>
      </c>
      <c r="X45" s="46" t="str">
        <f aca="false">IF(T45="","",MAX(0,INT(W45/Settings!$C$8)))</f>
        <v/>
      </c>
      <c r="Y45" s="57" t="str">
        <f aca="false">IF(T45="","",IF(X45&gt;=2,"ROOM FOR "&amp;X45&amp;" TRUCKS",IF(X45=1,"ROOM FOR 1 TRUCK","")))</f>
        <v/>
      </c>
      <c r="Z45" s="54"/>
      <c r="AA45" s="54"/>
      <c r="AB45" s="54"/>
      <c r="AC45" s="47" t="str">
        <f aca="false">IF(COUNT(Z45:AA45)=0,"",SUM(Z45:AA45))</f>
        <v/>
      </c>
      <c r="AD45" s="47" t="str">
        <f aca="false">IF(AC45="","",IF(AC44="","",AC44+AB45-AC45))</f>
        <v/>
      </c>
      <c r="AE45" s="54"/>
      <c r="AF45" s="54"/>
      <c r="AG45" s="47" t="str">
        <f aca="false">IF(AE45="","",IF(AE44="","",AE44+AF45-AE45))</f>
        <v/>
      </c>
      <c r="AH45" s="58"/>
    </row>
    <row r="46" customFormat="false" ht="19.5" hidden="false" customHeight="true" outlineLevel="0" collapsed="false">
      <c r="A46" s="44"/>
      <c r="B46" s="51"/>
      <c r="C46" s="51"/>
      <c r="D46" s="51"/>
      <c r="E46" s="51"/>
      <c r="F46" s="51"/>
      <c r="G46" s="51"/>
      <c r="H46" s="51"/>
      <c r="I46" s="51"/>
      <c r="J46" s="52" t="str">
        <f aca="false">IF(B46="","",IFERROR(ROUND(VLOOKUP(INT(B46),'Tank Tables'!$A$5:$B$121,2,FALSE())+(B46-INT(B46))*(VLOOKUP(INT(B46)+1,'Tank Tables'!$A$5:$B$121,2,FALSE())-VLOOKUP(INT(B46),'Tank Tables'!$A$5:$B$121,2,FALSE())),0),IFERROR(ROUND(VLOOKUP(INT(B46),'Tank Tables'!$A$5:$B$121,2,FALSE()),0),"?")))</f>
        <v/>
      </c>
      <c r="K46" s="52" t="str">
        <f aca="false">IF(C46="","",IFERROR(ROUND(VLOOKUP(INT(C46),'Tank Tables'!$C$5:$D$130,2,FALSE())+(C46-INT(C46))*(VLOOKUP(INT(C46)+1,'Tank Tables'!$C$5:$D$130,2,FALSE())-VLOOKUP(INT(C46),'Tank Tables'!$C$5:$D$130,2,FALSE())),0),IFERROR(ROUND(VLOOKUP(INT(C46),'Tank Tables'!$C$5:$D$130,2,FALSE()),0),"?")))</f>
        <v/>
      </c>
      <c r="L46" s="52" t="str">
        <f aca="false">IF(D46="","",IFERROR(ROUND(VLOOKUP(INT(D46),'Tank Tables'!$E$5:$F$130,2,FALSE())+(D46-INT(D46))*(VLOOKUP(INT(D46)+1,'Tank Tables'!$E$5:$F$130,2,FALSE())-VLOOKUP(INT(D46),'Tank Tables'!$E$5:$F$130,2,FALSE())),0),IFERROR(ROUND(VLOOKUP(INT(D46),'Tank Tables'!$E$5:$F$130,2,FALSE()),0),"?")))</f>
        <v/>
      </c>
      <c r="M46" s="52" t="str">
        <f aca="false">IF(E46="","",IFERROR(ROUND(VLOOKUP(INT(E46),'Tank Tables'!$G$5:$H$130,2,FALSE())+(E46-INT(E46))*(VLOOKUP(INT(E46)+1,'Tank Tables'!$G$5:$H$130,2,FALSE())-VLOOKUP(INT(E46),'Tank Tables'!$G$5:$H$130,2,FALSE())),0),IFERROR(ROUND(VLOOKUP(INT(E46),'Tank Tables'!$G$5:$H$130,2,FALSE()),0),"?")))</f>
        <v/>
      </c>
      <c r="N46" s="52" t="str">
        <f aca="false">IF(F46="","",IFERROR(ROUND(VLOOKUP(INT(F46),'Tank Tables'!$A$5:$B$121,2,FALSE())+(F46-INT(F46))*(VLOOKUP(INT(F46)+1,'Tank Tables'!$A$5:$B$121,2,FALSE())-VLOOKUP(INT(F46),'Tank Tables'!$A$5:$B$121,2,FALSE())),0),IFERROR(ROUND(VLOOKUP(INT(F46),'Tank Tables'!$A$5:$B$121,2,FALSE()),0),"?")))</f>
        <v/>
      </c>
      <c r="O46" s="52" t="str">
        <f aca="false">IF(G46="","",IFERROR(ROUND(VLOOKUP(INT(G46),'Tank Tables'!$C$5:$D$130,2,FALSE())+(G46-INT(G46))*(VLOOKUP(INT(G46)+1,'Tank Tables'!$C$5:$D$130,2,FALSE())-VLOOKUP(INT(G46),'Tank Tables'!$C$5:$D$130,2,FALSE())),0),IFERROR(ROUND(VLOOKUP(INT(G46),'Tank Tables'!$C$5:$D$130,2,FALSE()),0),"?")))</f>
        <v/>
      </c>
      <c r="P46" s="52" t="str">
        <f aca="false">IF(H46="","",IFERROR(ROUND(VLOOKUP(INT(H46),'Tank Tables'!$E$5:$F$130,2,FALSE())+(H46-INT(H46))*(VLOOKUP(INT(H46)+1,'Tank Tables'!$E$5:$F$130,2,FALSE())-VLOOKUP(INT(H46),'Tank Tables'!$E$5:$F$130,2,FALSE())),0),IFERROR(ROUND(VLOOKUP(INT(H46),'Tank Tables'!$E$5:$F$130,2,FALSE()),0),"?")))</f>
        <v/>
      </c>
      <c r="Q46" s="52" t="str">
        <f aca="false">IF(I46="","",IFERROR(ROUND(VLOOKUP(INT(I46),'Tank Tables'!$G$5:$H$130,2,FALSE())+(I46-INT(I46))*(VLOOKUP(INT(I46)+1,'Tank Tables'!$G$5:$H$130,2,FALSE())-VLOOKUP(INT(I46),'Tank Tables'!$G$5:$H$130,2,FALSE())),0),IFERROR(ROUND(VLOOKUP(INT(I46),'Tank Tables'!$G$5:$H$130,2,FALSE()),0),"?")))</f>
        <v/>
      </c>
      <c r="R46" s="47" t="str">
        <f aca="false">IF(COUNT(J46:M46)=0,"",SUM(J46:M46))</f>
        <v/>
      </c>
      <c r="S46" s="47" t="str">
        <f aca="false">IF(COUNT(N46:Q46)=0,"",SUM(N46:Q46))</f>
        <v/>
      </c>
      <c r="T46" s="53" t="str">
        <f aca="false">IF(COUNT(R46:S46)=0,"",SUM(R46:S46))</f>
        <v/>
      </c>
      <c r="U46" s="54"/>
      <c r="V46" s="47" t="str">
        <f aca="false">IF(T46="","",IF(T45="","",T45+U46-T46))</f>
        <v/>
      </c>
      <c r="W46" s="52" t="str">
        <f aca="false">IF(T46="","",Settings!$C$7-T46)</f>
        <v/>
      </c>
      <c r="X46" s="52" t="str">
        <f aca="false">IF(T46="","",MAX(0,INT(W46/Settings!$C$8)))</f>
        <v/>
      </c>
      <c r="Y46" s="55" t="str">
        <f aca="false">IF(T46="","",IF(X46&gt;=2,"ROOM FOR "&amp;X46&amp;" TRUCKS",IF(X46=1,"ROOM FOR 1 TRUCK","")))</f>
        <v/>
      </c>
      <c r="Z46" s="54"/>
      <c r="AA46" s="54"/>
      <c r="AB46" s="54"/>
      <c r="AC46" s="47" t="str">
        <f aca="false">IF(COUNT(Z46:AA46)=0,"",SUM(Z46:AA46))</f>
        <v/>
      </c>
      <c r="AD46" s="47" t="str">
        <f aca="false">IF(AC46="","",IF(AC45="","",AC45+AB46-AC46))</f>
        <v/>
      </c>
      <c r="AE46" s="54"/>
      <c r="AF46" s="54"/>
      <c r="AG46" s="47" t="str">
        <f aca="false">IF(AE46="","",IF(AE45="","",AE45+AF46-AE46))</f>
        <v/>
      </c>
      <c r="AH46" s="59"/>
    </row>
    <row r="47" customFormat="false" ht="19.5" hidden="false" customHeight="true" outlineLevel="0" collapsed="false">
      <c r="A47" s="44"/>
      <c r="B47" s="51"/>
      <c r="C47" s="51"/>
      <c r="D47" s="51"/>
      <c r="E47" s="51"/>
      <c r="F47" s="51"/>
      <c r="G47" s="51"/>
      <c r="H47" s="51"/>
      <c r="I47" s="51"/>
      <c r="J47" s="46" t="str">
        <f aca="false">IF(B47="","",IFERROR(ROUND(VLOOKUP(INT(B47),'Tank Tables'!$A$5:$B$121,2,FALSE())+(B47-INT(B47))*(VLOOKUP(INT(B47)+1,'Tank Tables'!$A$5:$B$121,2,FALSE())-VLOOKUP(INT(B47),'Tank Tables'!$A$5:$B$121,2,FALSE())),0),IFERROR(ROUND(VLOOKUP(INT(B47),'Tank Tables'!$A$5:$B$121,2,FALSE()),0),"?")))</f>
        <v/>
      </c>
      <c r="K47" s="46" t="str">
        <f aca="false">IF(C47="","",IFERROR(ROUND(VLOOKUP(INT(C47),'Tank Tables'!$C$5:$D$130,2,FALSE())+(C47-INT(C47))*(VLOOKUP(INT(C47)+1,'Tank Tables'!$C$5:$D$130,2,FALSE())-VLOOKUP(INT(C47),'Tank Tables'!$C$5:$D$130,2,FALSE())),0),IFERROR(ROUND(VLOOKUP(INT(C47),'Tank Tables'!$C$5:$D$130,2,FALSE()),0),"?")))</f>
        <v/>
      </c>
      <c r="L47" s="46" t="str">
        <f aca="false">IF(D47="","",IFERROR(ROUND(VLOOKUP(INT(D47),'Tank Tables'!$E$5:$F$130,2,FALSE())+(D47-INT(D47))*(VLOOKUP(INT(D47)+1,'Tank Tables'!$E$5:$F$130,2,FALSE())-VLOOKUP(INT(D47),'Tank Tables'!$E$5:$F$130,2,FALSE())),0),IFERROR(ROUND(VLOOKUP(INT(D47),'Tank Tables'!$E$5:$F$130,2,FALSE()),0),"?")))</f>
        <v/>
      </c>
      <c r="M47" s="46" t="str">
        <f aca="false">IF(E47="","",IFERROR(ROUND(VLOOKUP(INT(E47),'Tank Tables'!$G$5:$H$130,2,FALSE())+(E47-INT(E47))*(VLOOKUP(INT(E47)+1,'Tank Tables'!$G$5:$H$130,2,FALSE())-VLOOKUP(INT(E47),'Tank Tables'!$G$5:$H$130,2,FALSE())),0),IFERROR(ROUND(VLOOKUP(INT(E47),'Tank Tables'!$G$5:$H$130,2,FALSE()),0),"?")))</f>
        <v/>
      </c>
      <c r="N47" s="46" t="str">
        <f aca="false">IF(F47="","",IFERROR(ROUND(VLOOKUP(INT(F47),'Tank Tables'!$A$5:$B$121,2,FALSE())+(F47-INT(F47))*(VLOOKUP(INT(F47)+1,'Tank Tables'!$A$5:$B$121,2,FALSE())-VLOOKUP(INT(F47),'Tank Tables'!$A$5:$B$121,2,FALSE())),0),IFERROR(ROUND(VLOOKUP(INT(F47),'Tank Tables'!$A$5:$B$121,2,FALSE()),0),"?")))</f>
        <v/>
      </c>
      <c r="O47" s="46" t="str">
        <f aca="false">IF(G47="","",IFERROR(ROUND(VLOOKUP(INT(G47),'Tank Tables'!$C$5:$D$130,2,FALSE())+(G47-INT(G47))*(VLOOKUP(INT(G47)+1,'Tank Tables'!$C$5:$D$130,2,FALSE())-VLOOKUP(INT(G47),'Tank Tables'!$C$5:$D$130,2,FALSE())),0),IFERROR(ROUND(VLOOKUP(INT(G47),'Tank Tables'!$C$5:$D$130,2,FALSE()),0),"?")))</f>
        <v/>
      </c>
      <c r="P47" s="46" t="str">
        <f aca="false">IF(H47="","",IFERROR(ROUND(VLOOKUP(INT(H47),'Tank Tables'!$E$5:$F$130,2,FALSE())+(H47-INT(H47))*(VLOOKUP(INT(H47)+1,'Tank Tables'!$E$5:$F$130,2,FALSE())-VLOOKUP(INT(H47),'Tank Tables'!$E$5:$F$130,2,FALSE())),0),IFERROR(ROUND(VLOOKUP(INT(H47),'Tank Tables'!$E$5:$F$130,2,FALSE()),0),"?")))</f>
        <v/>
      </c>
      <c r="Q47" s="46" t="str">
        <f aca="false">IF(I47="","",IFERROR(ROUND(VLOOKUP(INT(I47),'Tank Tables'!$G$5:$H$130,2,FALSE())+(I47-INT(I47))*(VLOOKUP(INT(I47)+1,'Tank Tables'!$G$5:$H$130,2,FALSE())-VLOOKUP(INT(I47),'Tank Tables'!$G$5:$H$130,2,FALSE())),0),IFERROR(ROUND(VLOOKUP(INT(I47),'Tank Tables'!$G$5:$H$130,2,FALSE()),0),"?")))</f>
        <v/>
      </c>
      <c r="R47" s="47" t="str">
        <f aca="false">IF(COUNT(J47:M47)=0,"",SUM(J47:M47))</f>
        <v/>
      </c>
      <c r="S47" s="47" t="str">
        <f aca="false">IF(COUNT(N47:Q47)=0,"",SUM(N47:Q47))</f>
        <v/>
      </c>
      <c r="T47" s="53" t="str">
        <f aca="false">IF(COUNT(R47:S47)=0,"",SUM(R47:S47))</f>
        <v/>
      </c>
      <c r="U47" s="54"/>
      <c r="V47" s="47" t="str">
        <f aca="false">IF(T47="","",IF(T46="","",T46+U47-T47))</f>
        <v/>
      </c>
      <c r="W47" s="46" t="str">
        <f aca="false">IF(T47="","",Settings!$C$7-T47)</f>
        <v/>
      </c>
      <c r="X47" s="46" t="str">
        <f aca="false">IF(T47="","",MAX(0,INT(W47/Settings!$C$8)))</f>
        <v/>
      </c>
      <c r="Y47" s="57" t="str">
        <f aca="false">IF(T47="","",IF(X47&gt;=2,"ROOM FOR "&amp;X47&amp;" TRUCKS",IF(X47=1,"ROOM FOR 1 TRUCK","")))</f>
        <v/>
      </c>
      <c r="Z47" s="54"/>
      <c r="AA47" s="54"/>
      <c r="AB47" s="54"/>
      <c r="AC47" s="47" t="str">
        <f aca="false">IF(COUNT(Z47:AA47)=0,"",SUM(Z47:AA47))</f>
        <v/>
      </c>
      <c r="AD47" s="47" t="str">
        <f aca="false">IF(AC47="","",IF(AC46="","",AC46+AB47-AC47))</f>
        <v/>
      </c>
      <c r="AE47" s="54"/>
      <c r="AF47" s="54"/>
      <c r="AG47" s="47" t="str">
        <f aca="false">IF(AE47="","",IF(AE46="","",AE46+AF47-AE47))</f>
        <v/>
      </c>
      <c r="AH47" s="58"/>
    </row>
    <row r="48" customFormat="false" ht="19.5" hidden="false" customHeight="true" outlineLevel="0" collapsed="false">
      <c r="A48" s="44"/>
      <c r="B48" s="51"/>
      <c r="C48" s="51"/>
      <c r="D48" s="51"/>
      <c r="E48" s="51"/>
      <c r="F48" s="51"/>
      <c r="G48" s="51"/>
      <c r="H48" s="51"/>
      <c r="I48" s="51"/>
      <c r="J48" s="52" t="str">
        <f aca="false">IF(B48="","",IFERROR(ROUND(VLOOKUP(INT(B48),'Tank Tables'!$A$5:$B$121,2,FALSE())+(B48-INT(B48))*(VLOOKUP(INT(B48)+1,'Tank Tables'!$A$5:$B$121,2,FALSE())-VLOOKUP(INT(B48),'Tank Tables'!$A$5:$B$121,2,FALSE())),0),IFERROR(ROUND(VLOOKUP(INT(B48),'Tank Tables'!$A$5:$B$121,2,FALSE()),0),"?")))</f>
        <v/>
      </c>
      <c r="K48" s="52" t="str">
        <f aca="false">IF(C48="","",IFERROR(ROUND(VLOOKUP(INT(C48),'Tank Tables'!$C$5:$D$130,2,FALSE())+(C48-INT(C48))*(VLOOKUP(INT(C48)+1,'Tank Tables'!$C$5:$D$130,2,FALSE())-VLOOKUP(INT(C48),'Tank Tables'!$C$5:$D$130,2,FALSE())),0),IFERROR(ROUND(VLOOKUP(INT(C48),'Tank Tables'!$C$5:$D$130,2,FALSE()),0),"?")))</f>
        <v/>
      </c>
      <c r="L48" s="52" t="str">
        <f aca="false">IF(D48="","",IFERROR(ROUND(VLOOKUP(INT(D48),'Tank Tables'!$E$5:$F$130,2,FALSE())+(D48-INT(D48))*(VLOOKUP(INT(D48)+1,'Tank Tables'!$E$5:$F$130,2,FALSE())-VLOOKUP(INT(D48),'Tank Tables'!$E$5:$F$130,2,FALSE())),0),IFERROR(ROUND(VLOOKUP(INT(D48),'Tank Tables'!$E$5:$F$130,2,FALSE()),0),"?")))</f>
        <v/>
      </c>
      <c r="M48" s="52" t="str">
        <f aca="false">IF(E48="","",IFERROR(ROUND(VLOOKUP(INT(E48),'Tank Tables'!$G$5:$H$130,2,FALSE())+(E48-INT(E48))*(VLOOKUP(INT(E48)+1,'Tank Tables'!$G$5:$H$130,2,FALSE())-VLOOKUP(INT(E48),'Tank Tables'!$G$5:$H$130,2,FALSE())),0),IFERROR(ROUND(VLOOKUP(INT(E48),'Tank Tables'!$G$5:$H$130,2,FALSE()),0),"?")))</f>
        <v/>
      </c>
      <c r="N48" s="52" t="str">
        <f aca="false">IF(F48="","",IFERROR(ROUND(VLOOKUP(INT(F48),'Tank Tables'!$A$5:$B$121,2,FALSE())+(F48-INT(F48))*(VLOOKUP(INT(F48)+1,'Tank Tables'!$A$5:$B$121,2,FALSE())-VLOOKUP(INT(F48),'Tank Tables'!$A$5:$B$121,2,FALSE())),0),IFERROR(ROUND(VLOOKUP(INT(F48),'Tank Tables'!$A$5:$B$121,2,FALSE()),0),"?")))</f>
        <v/>
      </c>
      <c r="O48" s="52" t="str">
        <f aca="false">IF(G48="","",IFERROR(ROUND(VLOOKUP(INT(G48),'Tank Tables'!$C$5:$D$130,2,FALSE())+(G48-INT(G48))*(VLOOKUP(INT(G48)+1,'Tank Tables'!$C$5:$D$130,2,FALSE())-VLOOKUP(INT(G48),'Tank Tables'!$C$5:$D$130,2,FALSE())),0),IFERROR(ROUND(VLOOKUP(INT(G48),'Tank Tables'!$C$5:$D$130,2,FALSE()),0),"?")))</f>
        <v/>
      </c>
      <c r="P48" s="52" t="str">
        <f aca="false">IF(H48="","",IFERROR(ROUND(VLOOKUP(INT(H48),'Tank Tables'!$E$5:$F$130,2,FALSE())+(H48-INT(H48))*(VLOOKUP(INT(H48)+1,'Tank Tables'!$E$5:$F$130,2,FALSE())-VLOOKUP(INT(H48),'Tank Tables'!$E$5:$F$130,2,FALSE())),0),IFERROR(ROUND(VLOOKUP(INT(H48),'Tank Tables'!$E$5:$F$130,2,FALSE()),0),"?")))</f>
        <v/>
      </c>
      <c r="Q48" s="52" t="str">
        <f aca="false">IF(I48="","",IFERROR(ROUND(VLOOKUP(INT(I48),'Tank Tables'!$G$5:$H$130,2,FALSE())+(I48-INT(I48))*(VLOOKUP(INT(I48)+1,'Tank Tables'!$G$5:$H$130,2,FALSE())-VLOOKUP(INT(I48),'Tank Tables'!$G$5:$H$130,2,FALSE())),0),IFERROR(ROUND(VLOOKUP(INT(I48),'Tank Tables'!$G$5:$H$130,2,FALSE()),0),"?")))</f>
        <v/>
      </c>
      <c r="R48" s="47" t="str">
        <f aca="false">IF(COUNT(J48:M48)=0,"",SUM(J48:M48))</f>
        <v/>
      </c>
      <c r="S48" s="47" t="str">
        <f aca="false">IF(COUNT(N48:Q48)=0,"",SUM(N48:Q48))</f>
        <v/>
      </c>
      <c r="T48" s="53" t="str">
        <f aca="false">IF(COUNT(R48:S48)=0,"",SUM(R48:S48))</f>
        <v/>
      </c>
      <c r="U48" s="54"/>
      <c r="V48" s="47" t="str">
        <f aca="false">IF(T48="","",IF(T47="","",T47+U48-T48))</f>
        <v/>
      </c>
      <c r="W48" s="52" t="str">
        <f aca="false">IF(T48="","",Settings!$C$7-T48)</f>
        <v/>
      </c>
      <c r="X48" s="52" t="str">
        <f aca="false">IF(T48="","",MAX(0,INT(W48/Settings!$C$8)))</f>
        <v/>
      </c>
      <c r="Y48" s="55" t="str">
        <f aca="false">IF(T48="","",IF(X48&gt;=2,"ROOM FOR "&amp;X48&amp;" TRUCKS",IF(X48=1,"ROOM FOR 1 TRUCK","")))</f>
        <v/>
      </c>
      <c r="Z48" s="54"/>
      <c r="AA48" s="54"/>
      <c r="AB48" s="54"/>
      <c r="AC48" s="47" t="str">
        <f aca="false">IF(COUNT(Z48:AA48)=0,"",SUM(Z48:AA48))</f>
        <v/>
      </c>
      <c r="AD48" s="47" t="str">
        <f aca="false">IF(AC48="","",IF(AC47="","",AC47+AB48-AC48))</f>
        <v/>
      </c>
      <c r="AE48" s="54"/>
      <c r="AF48" s="54"/>
      <c r="AG48" s="47" t="str">
        <f aca="false">IF(AE48="","",IF(AE47="","",AE47+AF48-AE48))</f>
        <v/>
      </c>
      <c r="AH48" s="59"/>
    </row>
    <row r="49" customFormat="false" ht="19.5" hidden="false" customHeight="true" outlineLevel="0" collapsed="false">
      <c r="A49" s="44"/>
      <c r="B49" s="51"/>
      <c r="C49" s="51"/>
      <c r="D49" s="51"/>
      <c r="E49" s="51"/>
      <c r="F49" s="51"/>
      <c r="G49" s="51"/>
      <c r="H49" s="51"/>
      <c r="I49" s="51"/>
      <c r="J49" s="46" t="str">
        <f aca="false">IF(B49="","",IFERROR(ROUND(VLOOKUP(INT(B49),'Tank Tables'!$A$5:$B$121,2,FALSE())+(B49-INT(B49))*(VLOOKUP(INT(B49)+1,'Tank Tables'!$A$5:$B$121,2,FALSE())-VLOOKUP(INT(B49),'Tank Tables'!$A$5:$B$121,2,FALSE())),0),IFERROR(ROUND(VLOOKUP(INT(B49),'Tank Tables'!$A$5:$B$121,2,FALSE()),0),"?")))</f>
        <v/>
      </c>
      <c r="K49" s="46" t="str">
        <f aca="false">IF(C49="","",IFERROR(ROUND(VLOOKUP(INT(C49),'Tank Tables'!$C$5:$D$130,2,FALSE())+(C49-INT(C49))*(VLOOKUP(INT(C49)+1,'Tank Tables'!$C$5:$D$130,2,FALSE())-VLOOKUP(INT(C49),'Tank Tables'!$C$5:$D$130,2,FALSE())),0),IFERROR(ROUND(VLOOKUP(INT(C49),'Tank Tables'!$C$5:$D$130,2,FALSE()),0),"?")))</f>
        <v/>
      </c>
      <c r="L49" s="46" t="str">
        <f aca="false">IF(D49="","",IFERROR(ROUND(VLOOKUP(INT(D49),'Tank Tables'!$E$5:$F$130,2,FALSE())+(D49-INT(D49))*(VLOOKUP(INT(D49)+1,'Tank Tables'!$E$5:$F$130,2,FALSE())-VLOOKUP(INT(D49),'Tank Tables'!$E$5:$F$130,2,FALSE())),0),IFERROR(ROUND(VLOOKUP(INT(D49),'Tank Tables'!$E$5:$F$130,2,FALSE()),0),"?")))</f>
        <v/>
      </c>
      <c r="M49" s="46" t="str">
        <f aca="false">IF(E49="","",IFERROR(ROUND(VLOOKUP(INT(E49),'Tank Tables'!$G$5:$H$130,2,FALSE())+(E49-INT(E49))*(VLOOKUP(INT(E49)+1,'Tank Tables'!$G$5:$H$130,2,FALSE())-VLOOKUP(INT(E49),'Tank Tables'!$G$5:$H$130,2,FALSE())),0),IFERROR(ROUND(VLOOKUP(INT(E49),'Tank Tables'!$G$5:$H$130,2,FALSE()),0),"?")))</f>
        <v/>
      </c>
      <c r="N49" s="46" t="str">
        <f aca="false">IF(F49="","",IFERROR(ROUND(VLOOKUP(INT(F49),'Tank Tables'!$A$5:$B$121,2,FALSE())+(F49-INT(F49))*(VLOOKUP(INT(F49)+1,'Tank Tables'!$A$5:$B$121,2,FALSE())-VLOOKUP(INT(F49),'Tank Tables'!$A$5:$B$121,2,FALSE())),0),IFERROR(ROUND(VLOOKUP(INT(F49),'Tank Tables'!$A$5:$B$121,2,FALSE()),0),"?")))</f>
        <v/>
      </c>
      <c r="O49" s="46" t="str">
        <f aca="false">IF(G49="","",IFERROR(ROUND(VLOOKUP(INT(G49),'Tank Tables'!$C$5:$D$130,2,FALSE())+(G49-INT(G49))*(VLOOKUP(INT(G49)+1,'Tank Tables'!$C$5:$D$130,2,FALSE())-VLOOKUP(INT(G49),'Tank Tables'!$C$5:$D$130,2,FALSE())),0),IFERROR(ROUND(VLOOKUP(INT(G49),'Tank Tables'!$C$5:$D$130,2,FALSE()),0),"?")))</f>
        <v/>
      </c>
      <c r="P49" s="46" t="str">
        <f aca="false">IF(H49="","",IFERROR(ROUND(VLOOKUP(INT(H49),'Tank Tables'!$E$5:$F$130,2,FALSE())+(H49-INT(H49))*(VLOOKUP(INT(H49)+1,'Tank Tables'!$E$5:$F$130,2,FALSE())-VLOOKUP(INT(H49),'Tank Tables'!$E$5:$F$130,2,FALSE())),0),IFERROR(ROUND(VLOOKUP(INT(H49),'Tank Tables'!$E$5:$F$130,2,FALSE()),0),"?")))</f>
        <v/>
      </c>
      <c r="Q49" s="46" t="str">
        <f aca="false">IF(I49="","",IFERROR(ROUND(VLOOKUP(INT(I49),'Tank Tables'!$G$5:$H$130,2,FALSE())+(I49-INT(I49))*(VLOOKUP(INT(I49)+1,'Tank Tables'!$G$5:$H$130,2,FALSE())-VLOOKUP(INT(I49),'Tank Tables'!$G$5:$H$130,2,FALSE())),0),IFERROR(ROUND(VLOOKUP(INT(I49),'Tank Tables'!$G$5:$H$130,2,FALSE()),0),"?")))</f>
        <v/>
      </c>
      <c r="R49" s="47" t="str">
        <f aca="false">IF(COUNT(J49:M49)=0,"",SUM(J49:M49))</f>
        <v/>
      </c>
      <c r="S49" s="47" t="str">
        <f aca="false">IF(COUNT(N49:Q49)=0,"",SUM(N49:Q49))</f>
        <v/>
      </c>
      <c r="T49" s="53" t="str">
        <f aca="false">IF(COUNT(R49:S49)=0,"",SUM(R49:S49))</f>
        <v/>
      </c>
      <c r="U49" s="54"/>
      <c r="V49" s="47" t="str">
        <f aca="false">IF(T49="","",IF(T48="","",T48+U49-T49))</f>
        <v/>
      </c>
      <c r="W49" s="46" t="str">
        <f aca="false">IF(T49="","",Settings!$C$7-T49)</f>
        <v/>
      </c>
      <c r="X49" s="46" t="str">
        <f aca="false">IF(T49="","",MAX(0,INT(W49/Settings!$C$8)))</f>
        <v/>
      </c>
      <c r="Y49" s="57" t="str">
        <f aca="false">IF(T49="","",IF(X49&gt;=2,"ROOM FOR "&amp;X49&amp;" TRUCKS",IF(X49=1,"ROOM FOR 1 TRUCK","")))</f>
        <v/>
      </c>
      <c r="Z49" s="54"/>
      <c r="AA49" s="54"/>
      <c r="AB49" s="54"/>
      <c r="AC49" s="47" t="str">
        <f aca="false">IF(COUNT(Z49:AA49)=0,"",SUM(Z49:AA49))</f>
        <v/>
      </c>
      <c r="AD49" s="47" t="str">
        <f aca="false">IF(AC49="","",IF(AC48="","",AC48+AB49-AC49))</f>
        <v/>
      </c>
      <c r="AE49" s="54"/>
      <c r="AF49" s="54"/>
      <c r="AG49" s="47" t="str">
        <f aca="false">IF(AE49="","",IF(AE48="","",AE48+AF49-AE49))</f>
        <v/>
      </c>
      <c r="AH49" s="58"/>
    </row>
    <row r="50" customFormat="false" ht="19.5" hidden="false" customHeight="true" outlineLevel="0" collapsed="false">
      <c r="A50" s="44"/>
      <c r="B50" s="51"/>
      <c r="C50" s="51"/>
      <c r="D50" s="51"/>
      <c r="E50" s="51"/>
      <c r="F50" s="51"/>
      <c r="G50" s="51"/>
      <c r="H50" s="51"/>
      <c r="I50" s="51"/>
      <c r="J50" s="52" t="str">
        <f aca="false">IF(B50="","",IFERROR(ROUND(VLOOKUP(INT(B50),'Tank Tables'!$A$5:$B$121,2,FALSE())+(B50-INT(B50))*(VLOOKUP(INT(B50)+1,'Tank Tables'!$A$5:$B$121,2,FALSE())-VLOOKUP(INT(B50),'Tank Tables'!$A$5:$B$121,2,FALSE())),0),IFERROR(ROUND(VLOOKUP(INT(B50),'Tank Tables'!$A$5:$B$121,2,FALSE()),0),"?")))</f>
        <v/>
      </c>
      <c r="K50" s="52" t="str">
        <f aca="false">IF(C50="","",IFERROR(ROUND(VLOOKUP(INT(C50),'Tank Tables'!$C$5:$D$130,2,FALSE())+(C50-INT(C50))*(VLOOKUP(INT(C50)+1,'Tank Tables'!$C$5:$D$130,2,FALSE())-VLOOKUP(INT(C50),'Tank Tables'!$C$5:$D$130,2,FALSE())),0),IFERROR(ROUND(VLOOKUP(INT(C50),'Tank Tables'!$C$5:$D$130,2,FALSE()),0),"?")))</f>
        <v/>
      </c>
      <c r="L50" s="52" t="str">
        <f aca="false">IF(D50="","",IFERROR(ROUND(VLOOKUP(INT(D50),'Tank Tables'!$E$5:$F$130,2,FALSE())+(D50-INT(D50))*(VLOOKUP(INT(D50)+1,'Tank Tables'!$E$5:$F$130,2,FALSE())-VLOOKUP(INT(D50),'Tank Tables'!$E$5:$F$130,2,FALSE())),0),IFERROR(ROUND(VLOOKUP(INT(D50),'Tank Tables'!$E$5:$F$130,2,FALSE()),0),"?")))</f>
        <v/>
      </c>
      <c r="M50" s="52" t="str">
        <f aca="false">IF(E50="","",IFERROR(ROUND(VLOOKUP(INT(E50),'Tank Tables'!$G$5:$H$130,2,FALSE())+(E50-INT(E50))*(VLOOKUP(INT(E50)+1,'Tank Tables'!$G$5:$H$130,2,FALSE())-VLOOKUP(INT(E50),'Tank Tables'!$G$5:$H$130,2,FALSE())),0),IFERROR(ROUND(VLOOKUP(INT(E50),'Tank Tables'!$G$5:$H$130,2,FALSE()),0),"?")))</f>
        <v/>
      </c>
      <c r="N50" s="52" t="str">
        <f aca="false">IF(F50="","",IFERROR(ROUND(VLOOKUP(INT(F50),'Tank Tables'!$A$5:$B$121,2,FALSE())+(F50-INT(F50))*(VLOOKUP(INT(F50)+1,'Tank Tables'!$A$5:$B$121,2,FALSE())-VLOOKUP(INT(F50),'Tank Tables'!$A$5:$B$121,2,FALSE())),0),IFERROR(ROUND(VLOOKUP(INT(F50),'Tank Tables'!$A$5:$B$121,2,FALSE()),0),"?")))</f>
        <v/>
      </c>
      <c r="O50" s="52" t="str">
        <f aca="false">IF(G50="","",IFERROR(ROUND(VLOOKUP(INT(G50),'Tank Tables'!$C$5:$D$130,2,FALSE())+(G50-INT(G50))*(VLOOKUP(INT(G50)+1,'Tank Tables'!$C$5:$D$130,2,FALSE())-VLOOKUP(INT(G50),'Tank Tables'!$C$5:$D$130,2,FALSE())),0),IFERROR(ROUND(VLOOKUP(INT(G50),'Tank Tables'!$C$5:$D$130,2,FALSE()),0),"?")))</f>
        <v/>
      </c>
      <c r="P50" s="52" t="str">
        <f aca="false">IF(H50="","",IFERROR(ROUND(VLOOKUP(INT(H50),'Tank Tables'!$E$5:$F$130,2,FALSE())+(H50-INT(H50))*(VLOOKUP(INT(H50)+1,'Tank Tables'!$E$5:$F$130,2,FALSE())-VLOOKUP(INT(H50),'Tank Tables'!$E$5:$F$130,2,FALSE())),0),IFERROR(ROUND(VLOOKUP(INT(H50),'Tank Tables'!$E$5:$F$130,2,FALSE()),0),"?")))</f>
        <v/>
      </c>
      <c r="Q50" s="52" t="str">
        <f aca="false">IF(I50="","",IFERROR(ROUND(VLOOKUP(INT(I50),'Tank Tables'!$G$5:$H$130,2,FALSE())+(I50-INT(I50))*(VLOOKUP(INT(I50)+1,'Tank Tables'!$G$5:$H$130,2,FALSE())-VLOOKUP(INT(I50),'Tank Tables'!$G$5:$H$130,2,FALSE())),0),IFERROR(ROUND(VLOOKUP(INT(I50),'Tank Tables'!$G$5:$H$130,2,FALSE()),0),"?")))</f>
        <v/>
      </c>
      <c r="R50" s="47" t="str">
        <f aca="false">IF(COUNT(J50:M50)=0,"",SUM(J50:M50))</f>
        <v/>
      </c>
      <c r="S50" s="47" t="str">
        <f aca="false">IF(COUNT(N50:Q50)=0,"",SUM(N50:Q50))</f>
        <v/>
      </c>
      <c r="T50" s="53" t="str">
        <f aca="false">IF(COUNT(R50:S50)=0,"",SUM(R50:S50))</f>
        <v/>
      </c>
      <c r="U50" s="54"/>
      <c r="V50" s="47" t="str">
        <f aca="false">IF(T50="","",IF(T49="","",T49+U50-T50))</f>
        <v/>
      </c>
      <c r="W50" s="52" t="str">
        <f aca="false">IF(T50="","",Settings!$C$7-T50)</f>
        <v/>
      </c>
      <c r="X50" s="52" t="str">
        <f aca="false">IF(T50="","",MAX(0,INT(W50/Settings!$C$8)))</f>
        <v/>
      </c>
      <c r="Y50" s="55" t="str">
        <f aca="false">IF(T50="","",IF(X50&gt;=2,"ROOM FOR "&amp;X50&amp;" TRUCKS",IF(X50=1,"ROOM FOR 1 TRUCK","")))</f>
        <v/>
      </c>
      <c r="Z50" s="54"/>
      <c r="AA50" s="54"/>
      <c r="AB50" s="54"/>
      <c r="AC50" s="47" t="str">
        <f aca="false">IF(COUNT(Z50:AA50)=0,"",SUM(Z50:AA50))</f>
        <v/>
      </c>
      <c r="AD50" s="47" t="str">
        <f aca="false">IF(AC50="","",IF(AC49="","",AC49+AB50-AC50))</f>
        <v/>
      </c>
      <c r="AE50" s="54"/>
      <c r="AF50" s="54"/>
      <c r="AG50" s="47" t="str">
        <f aca="false">IF(AE50="","",IF(AE49="","",AE49+AF50-AE50))</f>
        <v/>
      </c>
      <c r="AH50" s="59"/>
    </row>
    <row r="51" customFormat="false" ht="19.5" hidden="false" customHeight="true" outlineLevel="0" collapsed="false">
      <c r="A51" s="44"/>
      <c r="B51" s="51"/>
      <c r="C51" s="51"/>
      <c r="D51" s="51"/>
      <c r="E51" s="51"/>
      <c r="F51" s="51"/>
      <c r="G51" s="51"/>
      <c r="H51" s="51"/>
      <c r="I51" s="51"/>
      <c r="J51" s="46" t="str">
        <f aca="false">IF(B51="","",IFERROR(ROUND(VLOOKUP(INT(B51),'Tank Tables'!$A$5:$B$121,2,FALSE())+(B51-INT(B51))*(VLOOKUP(INT(B51)+1,'Tank Tables'!$A$5:$B$121,2,FALSE())-VLOOKUP(INT(B51),'Tank Tables'!$A$5:$B$121,2,FALSE())),0),IFERROR(ROUND(VLOOKUP(INT(B51),'Tank Tables'!$A$5:$B$121,2,FALSE()),0),"?")))</f>
        <v/>
      </c>
      <c r="K51" s="46" t="str">
        <f aca="false">IF(C51="","",IFERROR(ROUND(VLOOKUP(INT(C51),'Tank Tables'!$C$5:$D$130,2,FALSE())+(C51-INT(C51))*(VLOOKUP(INT(C51)+1,'Tank Tables'!$C$5:$D$130,2,FALSE())-VLOOKUP(INT(C51),'Tank Tables'!$C$5:$D$130,2,FALSE())),0),IFERROR(ROUND(VLOOKUP(INT(C51),'Tank Tables'!$C$5:$D$130,2,FALSE()),0),"?")))</f>
        <v/>
      </c>
      <c r="L51" s="46" t="str">
        <f aca="false">IF(D51="","",IFERROR(ROUND(VLOOKUP(INT(D51),'Tank Tables'!$E$5:$F$130,2,FALSE())+(D51-INT(D51))*(VLOOKUP(INT(D51)+1,'Tank Tables'!$E$5:$F$130,2,FALSE())-VLOOKUP(INT(D51),'Tank Tables'!$E$5:$F$130,2,FALSE())),0),IFERROR(ROUND(VLOOKUP(INT(D51),'Tank Tables'!$E$5:$F$130,2,FALSE()),0),"?")))</f>
        <v/>
      </c>
      <c r="M51" s="46" t="str">
        <f aca="false">IF(E51="","",IFERROR(ROUND(VLOOKUP(INT(E51),'Tank Tables'!$G$5:$H$130,2,FALSE())+(E51-INT(E51))*(VLOOKUP(INT(E51)+1,'Tank Tables'!$G$5:$H$130,2,FALSE())-VLOOKUP(INT(E51),'Tank Tables'!$G$5:$H$130,2,FALSE())),0),IFERROR(ROUND(VLOOKUP(INT(E51),'Tank Tables'!$G$5:$H$130,2,FALSE()),0),"?")))</f>
        <v/>
      </c>
      <c r="N51" s="46" t="str">
        <f aca="false">IF(F51="","",IFERROR(ROUND(VLOOKUP(INT(F51),'Tank Tables'!$A$5:$B$121,2,FALSE())+(F51-INT(F51))*(VLOOKUP(INT(F51)+1,'Tank Tables'!$A$5:$B$121,2,FALSE())-VLOOKUP(INT(F51),'Tank Tables'!$A$5:$B$121,2,FALSE())),0),IFERROR(ROUND(VLOOKUP(INT(F51),'Tank Tables'!$A$5:$B$121,2,FALSE()),0),"?")))</f>
        <v/>
      </c>
      <c r="O51" s="46" t="str">
        <f aca="false">IF(G51="","",IFERROR(ROUND(VLOOKUP(INT(G51),'Tank Tables'!$C$5:$D$130,2,FALSE())+(G51-INT(G51))*(VLOOKUP(INT(G51)+1,'Tank Tables'!$C$5:$D$130,2,FALSE())-VLOOKUP(INT(G51),'Tank Tables'!$C$5:$D$130,2,FALSE())),0),IFERROR(ROUND(VLOOKUP(INT(G51),'Tank Tables'!$C$5:$D$130,2,FALSE()),0),"?")))</f>
        <v/>
      </c>
      <c r="P51" s="46" t="str">
        <f aca="false">IF(H51="","",IFERROR(ROUND(VLOOKUP(INT(H51),'Tank Tables'!$E$5:$F$130,2,FALSE())+(H51-INT(H51))*(VLOOKUP(INT(H51)+1,'Tank Tables'!$E$5:$F$130,2,FALSE())-VLOOKUP(INT(H51),'Tank Tables'!$E$5:$F$130,2,FALSE())),0),IFERROR(ROUND(VLOOKUP(INT(H51),'Tank Tables'!$E$5:$F$130,2,FALSE()),0),"?")))</f>
        <v/>
      </c>
      <c r="Q51" s="46" t="str">
        <f aca="false">IF(I51="","",IFERROR(ROUND(VLOOKUP(INT(I51),'Tank Tables'!$G$5:$H$130,2,FALSE())+(I51-INT(I51))*(VLOOKUP(INT(I51)+1,'Tank Tables'!$G$5:$H$130,2,FALSE())-VLOOKUP(INT(I51),'Tank Tables'!$G$5:$H$130,2,FALSE())),0),IFERROR(ROUND(VLOOKUP(INT(I51),'Tank Tables'!$G$5:$H$130,2,FALSE()),0),"?")))</f>
        <v/>
      </c>
      <c r="R51" s="47" t="str">
        <f aca="false">IF(COUNT(J51:M51)=0,"",SUM(J51:M51))</f>
        <v/>
      </c>
      <c r="S51" s="47" t="str">
        <f aca="false">IF(COUNT(N51:Q51)=0,"",SUM(N51:Q51))</f>
        <v/>
      </c>
      <c r="T51" s="53" t="str">
        <f aca="false">IF(COUNT(R51:S51)=0,"",SUM(R51:S51))</f>
        <v/>
      </c>
      <c r="U51" s="54"/>
      <c r="V51" s="47" t="str">
        <f aca="false">IF(T51="","",IF(T50="","",T50+U51-T51))</f>
        <v/>
      </c>
      <c r="W51" s="46" t="str">
        <f aca="false">IF(T51="","",Settings!$C$7-T51)</f>
        <v/>
      </c>
      <c r="X51" s="46" t="str">
        <f aca="false">IF(T51="","",MAX(0,INT(W51/Settings!$C$8)))</f>
        <v/>
      </c>
      <c r="Y51" s="57" t="str">
        <f aca="false">IF(T51="","",IF(X51&gt;=2,"ROOM FOR "&amp;X51&amp;" TRUCKS",IF(X51=1,"ROOM FOR 1 TRUCK","")))</f>
        <v/>
      </c>
      <c r="Z51" s="54"/>
      <c r="AA51" s="54"/>
      <c r="AB51" s="54"/>
      <c r="AC51" s="47" t="str">
        <f aca="false">IF(COUNT(Z51:AA51)=0,"",SUM(Z51:AA51))</f>
        <v/>
      </c>
      <c r="AD51" s="47" t="str">
        <f aca="false">IF(AC51="","",IF(AC50="","",AC50+AB51-AC51))</f>
        <v/>
      </c>
      <c r="AE51" s="54"/>
      <c r="AF51" s="54"/>
      <c r="AG51" s="47" t="str">
        <f aca="false">IF(AE51="","",IF(AE50="","",AE50+AF51-AE51))</f>
        <v/>
      </c>
      <c r="AH51" s="58"/>
    </row>
    <row r="52" customFormat="false" ht="19.5" hidden="false" customHeight="true" outlineLevel="0" collapsed="false">
      <c r="A52" s="44"/>
      <c r="B52" s="51"/>
      <c r="C52" s="51"/>
      <c r="D52" s="51"/>
      <c r="E52" s="51"/>
      <c r="F52" s="51"/>
      <c r="G52" s="51"/>
      <c r="H52" s="51"/>
      <c r="I52" s="51"/>
      <c r="J52" s="52" t="str">
        <f aca="false">IF(B52="","",IFERROR(ROUND(VLOOKUP(INT(B52),'Tank Tables'!$A$5:$B$121,2,FALSE())+(B52-INT(B52))*(VLOOKUP(INT(B52)+1,'Tank Tables'!$A$5:$B$121,2,FALSE())-VLOOKUP(INT(B52),'Tank Tables'!$A$5:$B$121,2,FALSE())),0),IFERROR(ROUND(VLOOKUP(INT(B52),'Tank Tables'!$A$5:$B$121,2,FALSE()),0),"?")))</f>
        <v/>
      </c>
      <c r="K52" s="52" t="str">
        <f aca="false">IF(C52="","",IFERROR(ROUND(VLOOKUP(INT(C52),'Tank Tables'!$C$5:$D$130,2,FALSE())+(C52-INT(C52))*(VLOOKUP(INT(C52)+1,'Tank Tables'!$C$5:$D$130,2,FALSE())-VLOOKUP(INT(C52),'Tank Tables'!$C$5:$D$130,2,FALSE())),0),IFERROR(ROUND(VLOOKUP(INT(C52),'Tank Tables'!$C$5:$D$130,2,FALSE()),0),"?")))</f>
        <v/>
      </c>
      <c r="L52" s="52" t="str">
        <f aca="false">IF(D52="","",IFERROR(ROUND(VLOOKUP(INT(D52),'Tank Tables'!$E$5:$F$130,2,FALSE())+(D52-INT(D52))*(VLOOKUP(INT(D52)+1,'Tank Tables'!$E$5:$F$130,2,FALSE())-VLOOKUP(INT(D52),'Tank Tables'!$E$5:$F$130,2,FALSE())),0),IFERROR(ROUND(VLOOKUP(INT(D52),'Tank Tables'!$E$5:$F$130,2,FALSE()),0),"?")))</f>
        <v/>
      </c>
      <c r="M52" s="52" t="str">
        <f aca="false">IF(E52="","",IFERROR(ROUND(VLOOKUP(INT(E52),'Tank Tables'!$G$5:$H$130,2,FALSE())+(E52-INT(E52))*(VLOOKUP(INT(E52)+1,'Tank Tables'!$G$5:$H$130,2,FALSE())-VLOOKUP(INT(E52),'Tank Tables'!$G$5:$H$130,2,FALSE())),0),IFERROR(ROUND(VLOOKUP(INT(E52),'Tank Tables'!$G$5:$H$130,2,FALSE()),0),"?")))</f>
        <v/>
      </c>
      <c r="N52" s="52" t="str">
        <f aca="false">IF(F52="","",IFERROR(ROUND(VLOOKUP(INT(F52),'Tank Tables'!$A$5:$B$121,2,FALSE())+(F52-INT(F52))*(VLOOKUP(INT(F52)+1,'Tank Tables'!$A$5:$B$121,2,FALSE())-VLOOKUP(INT(F52),'Tank Tables'!$A$5:$B$121,2,FALSE())),0),IFERROR(ROUND(VLOOKUP(INT(F52),'Tank Tables'!$A$5:$B$121,2,FALSE()),0),"?")))</f>
        <v/>
      </c>
      <c r="O52" s="52" t="str">
        <f aca="false">IF(G52="","",IFERROR(ROUND(VLOOKUP(INT(G52),'Tank Tables'!$C$5:$D$130,2,FALSE())+(G52-INT(G52))*(VLOOKUP(INT(G52)+1,'Tank Tables'!$C$5:$D$130,2,FALSE())-VLOOKUP(INT(G52),'Tank Tables'!$C$5:$D$130,2,FALSE())),0),IFERROR(ROUND(VLOOKUP(INT(G52),'Tank Tables'!$C$5:$D$130,2,FALSE()),0),"?")))</f>
        <v/>
      </c>
      <c r="P52" s="52" t="str">
        <f aca="false">IF(H52="","",IFERROR(ROUND(VLOOKUP(INT(H52),'Tank Tables'!$E$5:$F$130,2,FALSE())+(H52-INT(H52))*(VLOOKUP(INT(H52)+1,'Tank Tables'!$E$5:$F$130,2,FALSE())-VLOOKUP(INT(H52),'Tank Tables'!$E$5:$F$130,2,FALSE())),0),IFERROR(ROUND(VLOOKUP(INT(H52),'Tank Tables'!$E$5:$F$130,2,FALSE()),0),"?")))</f>
        <v/>
      </c>
      <c r="Q52" s="52" t="str">
        <f aca="false">IF(I52="","",IFERROR(ROUND(VLOOKUP(INT(I52),'Tank Tables'!$G$5:$H$130,2,FALSE())+(I52-INT(I52))*(VLOOKUP(INT(I52)+1,'Tank Tables'!$G$5:$H$130,2,FALSE())-VLOOKUP(INT(I52),'Tank Tables'!$G$5:$H$130,2,FALSE())),0),IFERROR(ROUND(VLOOKUP(INT(I52),'Tank Tables'!$G$5:$H$130,2,FALSE()),0),"?")))</f>
        <v/>
      </c>
      <c r="R52" s="47" t="str">
        <f aca="false">IF(COUNT(J52:M52)=0,"",SUM(J52:M52))</f>
        <v/>
      </c>
      <c r="S52" s="47" t="str">
        <f aca="false">IF(COUNT(N52:Q52)=0,"",SUM(N52:Q52))</f>
        <v/>
      </c>
      <c r="T52" s="53" t="str">
        <f aca="false">IF(COUNT(R52:S52)=0,"",SUM(R52:S52))</f>
        <v/>
      </c>
      <c r="U52" s="54"/>
      <c r="V52" s="47" t="str">
        <f aca="false">IF(T52="","",IF(T51="","",T51+U52-T52))</f>
        <v/>
      </c>
      <c r="W52" s="52" t="str">
        <f aca="false">IF(T52="","",Settings!$C$7-T52)</f>
        <v/>
      </c>
      <c r="X52" s="52" t="str">
        <f aca="false">IF(T52="","",MAX(0,INT(W52/Settings!$C$8)))</f>
        <v/>
      </c>
      <c r="Y52" s="55" t="str">
        <f aca="false">IF(T52="","",IF(X52&gt;=2,"ROOM FOR "&amp;X52&amp;" TRUCKS",IF(X52=1,"ROOM FOR 1 TRUCK","")))</f>
        <v/>
      </c>
      <c r="Z52" s="54"/>
      <c r="AA52" s="54"/>
      <c r="AB52" s="54"/>
      <c r="AC52" s="47" t="str">
        <f aca="false">IF(COUNT(Z52:AA52)=0,"",SUM(Z52:AA52))</f>
        <v/>
      </c>
      <c r="AD52" s="47" t="str">
        <f aca="false">IF(AC52="","",IF(AC51="","",AC51+AB52-AC52))</f>
        <v/>
      </c>
      <c r="AE52" s="54"/>
      <c r="AF52" s="54"/>
      <c r="AG52" s="47" t="str">
        <f aca="false">IF(AE52="","",IF(AE51="","",AE51+AF52-AE52))</f>
        <v/>
      </c>
      <c r="AH52" s="59"/>
    </row>
    <row r="53" customFormat="false" ht="19.5" hidden="false" customHeight="true" outlineLevel="0" collapsed="false">
      <c r="A53" s="44"/>
      <c r="B53" s="51"/>
      <c r="C53" s="51"/>
      <c r="D53" s="51"/>
      <c r="E53" s="51"/>
      <c r="F53" s="51"/>
      <c r="G53" s="51"/>
      <c r="H53" s="51"/>
      <c r="I53" s="51"/>
      <c r="J53" s="46" t="str">
        <f aca="false">IF(B53="","",IFERROR(ROUND(VLOOKUP(INT(B53),'Tank Tables'!$A$5:$B$121,2,FALSE())+(B53-INT(B53))*(VLOOKUP(INT(B53)+1,'Tank Tables'!$A$5:$B$121,2,FALSE())-VLOOKUP(INT(B53),'Tank Tables'!$A$5:$B$121,2,FALSE())),0),IFERROR(ROUND(VLOOKUP(INT(B53),'Tank Tables'!$A$5:$B$121,2,FALSE()),0),"?")))</f>
        <v/>
      </c>
      <c r="K53" s="46" t="str">
        <f aca="false">IF(C53="","",IFERROR(ROUND(VLOOKUP(INT(C53),'Tank Tables'!$C$5:$D$130,2,FALSE())+(C53-INT(C53))*(VLOOKUP(INT(C53)+1,'Tank Tables'!$C$5:$D$130,2,FALSE())-VLOOKUP(INT(C53),'Tank Tables'!$C$5:$D$130,2,FALSE())),0),IFERROR(ROUND(VLOOKUP(INT(C53),'Tank Tables'!$C$5:$D$130,2,FALSE()),0),"?")))</f>
        <v/>
      </c>
      <c r="L53" s="46" t="str">
        <f aca="false">IF(D53="","",IFERROR(ROUND(VLOOKUP(INT(D53),'Tank Tables'!$E$5:$F$130,2,FALSE())+(D53-INT(D53))*(VLOOKUP(INT(D53)+1,'Tank Tables'!$E$5:$F$130,2,FALSE())-VLOOKUP(INT(D53),'Tank Tables'!$E$5:$F$130,2,FALSE())),0),IFERROR(ROUND(VLOOKUP(INT(D53),'Tank Tables'!$E$5:$F$130,2,FALSE()),0),"?")))</f>
        <v/>
      </c>
      <c r="M53" s="46" t="str">
        <f aca="false">IF(E53="","",IFERROR(ROUND(VLOOKUP(INT(E53),'Tank Tables'!$G$5:$H$130,2,FALSE())+(E53-INT(E53))*(VLOOKUP(INT(E53)+1,'Tank Tables'!$G$5:$H$130,2,FALSE())-VLOOKUP(INT(E53),'Tank Tables'!$G$5:$H$130,2,FALSE())),0),IFERROR(ROUND(VLOOKUP(INT(E53),'Tank Tables'!$G$5:$H$130,2,FALSE()),0),"?")))</f>
        <v/>
      </c>
      <c r="N53" s="46" t="str">
        <f aca="false">IF(F53="","",IFERROR(ROUND(VLOOKUP(INT(F53),'Tank Tables'!$A$5:$B$121,2,FALSE())+(F53-INT(F53))*(VLOOKUP(INT(F53)+1,'Tank Tables'!$A$5:$B$121,2,FALSE())-VLOOKUP(INT(F53),'Tank Tables'!$A$5:$B$121,2,FALSE())),0),IFERROR(ROUND(VLOOKUP(INT(F53),'Tank Tables'!$A$5:$B$121,2,FALSE()),0),"?")))</f>
        <v/>
      </c>
      <c r="O53" s="46" t="str">
        <f aca="false">IF(G53="","",IFERROR(ROUND(VLOOKUP(INT(G53),'Tank Tables'!$C$5:$D$130,2,FALSE())+(G53-INT(G53))*(VLOOKUP(INT(G53)+1,'Tank Tables'!$C$5:$D$130,2,FALSE())-VLOOKUP(INT(G53),'Tank Tables'!$C$5:$D$130,2,FALSE())),0),IFERROR(ROUND(VLOOKUP(INT(G53),'Tank Tables'!$C$5:$D$130,2,FALSE()),0),"?")))</f>
        <v/>
      </c>
      <c r="P53" s="46" t="str">
        <f aca="false">IF(H53="","",IFERROR(ROUND(VLOOKUP(INT(H53),'Tank Tables'!$E$5:$F$130,2,FALSE())+(H53-INT(H53))*(VLOOKUP(INT(H53)+1,'Tank Tables'!$E$5:$F$130,2,FALSE())-VLOOKUP(INT(H53),'Tank Tables'!$E$5:$F$130,2,FALSE())),0),IFERROR(ROUND(VLOOKUP(INT(H53),'Tank Tables'!$E$5:$F$130,2,FALSE()),0),"?")))</f>
        <v/>
      </c>
      <c r="Q53" s="46" t="str">
        <f aca="false">IF(I53="","",IFERROR(ROUND(VLOOKUP(INT(I53),'Tank Tables'!$G$5:$H$130,2,FALSE())+(I53-INT(I53))*(VLOOKUP(INT(I53)+1,'Tank Tables'!$G$5:$H$130,2,FALSE())-VLOOKUP(INT(I53),'Tank Tables'!$G$5:$H$130,2,FALSE())),0),IFERROR(ROUND(VLOOKUP(INT(I53),'Tank Tables'!$G$5:$H$130,2,FALSE()),0),"?")))</f>
        <v/>
      </c>
      <c r="R53" s="47" t="str">
        <f aca="false">IF(COUNT(J53:M53)=0,"",SUM(J53:M53))</f>
        <v/>
      </c>
      <c r="S53" s="47" t="str">
        <f aca="false">IF(COUNT(N53:Q53)=0,"",SUM(N53:Q53))</f>
        <v/>
      </c>
      <c r="T53" s="53" t="str">
        <f aca="false">IF(COUNT(R53:S53)=0,"",SUM(R53:S53))</f>
        <v/>
      </c>
      <c r="U53" s="54"/>
      <c r="V53" s="47" t="str">
        <f aca="false">IF(T53="","",IF(T52="","",T52+U53-T53))</f>
        <v/>
      </c>
      <c r="W53" s="46" t="str">
        <f aca="false">IF(T53="","",Settings!$C$7-T53)</f>
        <v/>
      </c>
      <c r="X53" s="46" t="str">
        <f aca="false">IF(T53="","",MAX(0,INT(W53/Settings!$C$8)))</f>
        <v/>
      </c>
      <c r="Y53" s="57" t="str">
        <f aca="false">IF(T53="","",IF(X53&gt;=2,"ROOM FOR "&amp;X53&amp;" TRUCKS",IF(X53=1,"ROOM FOR 1 TRUCK","")))</f>
        <v/>
      </c>
      <c r="Z53" s="54"/>
      <c r="AA53" s="54"/>
      <c r="AB53" s="54"/>
      <c r="AC53" s="47" t="str">
        <f aca="false">IF(COUNT(Z53:AA53)=0,"",SUM(Z53:AA53))</f>
        <v/>
      </c>
      <c r="AD53" s="47" t="str">
        <f aca="false">IF(AC53="","",IF(AC52="","",AC52+AB53-AC53))</f>
        <v/>
      </c>
      <c r="AE53" s="54"/>
      <c r="AF53" s="54"/>
      <c r="AG53" s="47" t="str">
        <f aca="false">IF(AE53="","",IF(AE52="","",AE52+AF53-AE53))</f>
        <v/>
      </c>
      <c r="AH53" s="58"/>
    </row>
    <row r="54" customFormat="false" ht="19.5" hidden="false" customHeight="true" outlineLevel="0" collapsed="false">
      <c r="A54" s="44"/>
      <c r="B54" s="51"/>
      <c r="C54" s="51"/>
      <c r="D54" s="51"/>
      <c r="E54" s="51"/>
      <c r="F54" s="51"/>
      <c r="G54" s="51"/>
      <c r="H54" s="51"/>
      <c r="I54" s="51"/>
      <c r="J54" s="52" t="str">
        <f aca="false">IF(B54="","",IFERROR(ROUND(VLOOKUP(INT(B54),'Tank Tables'!$A$5:$B$121,2,FALSE())+(B54-INT(B54))*(VLOOKUP(INT(B54)+1,'Tank Tables'!$A$5:$B$121,2,FALSE())-VLOOKUP(INT(B54),'Tank Tables'!$A$5:$B$121,2,FALSE())),0),IFERROR(ROUND(VLOOKUP(INT(B54),'Tank Tables'!$A$5:$B$121,2,FALSE()),0),"?")))</f>
        <v/>
      </c>
      <c r="K54" s="52" t="str">
        <f aca="false">IF(C54="","",IFERROR(ROUND(VLOOKUP(INT(C54),'Tank Tables'!$C$5:$D$130,2,FALSE())+(C54-INT(C54))*(VLOOKUP(INT(C54)+1,'Tank Tables'!$C$5:$D$130,2,FALSE())-VLOOKUP(INT(C54),'Tank Tables'!$C$5:$D$130,2,FALSE())),0),IFERROR(ROUND(VLOOKUP(INT(C54),'Tank Tables'!$C$5:$D$130,2,FALSE()),0),"?")))</f>
        <v/>
      </c>
      <c r="L54" s="52" t="str">
        <f aca="false">IF(D54="","",IFERROR(ROUND(VLOOKUP(INT(D54),'Tank Tables'!$E$5:$F$130,2,FALSE())+(D54-INT(D54))*(VLOOKUP(INT(D54)+1,'Tank Tables'!$E$5:$F$130,2,FALSE())-VLOOKUP(INT(D54),'Tank Tables'!$E$5:$F$130,2,FALSE())),0),IFERROR(ROUND(VLOOKUP(INT(D54),'Tank Tables'!$E$5:$F$130,2,FALSE()),0),"?")))</f>
        <v/>
      </c>
      <c r="M54" s="52" t="str">
        <f aca="false">IF(E54="","",IFERROR(ROUND(VLOOKUP(INT(E54),'Tank Tables'!$G$5:$H$130,2,FALSE())+(E54-INT(E54))*(VLOOKUP(INT(E54)+1,'Tank Tables'!$G$5:$H$130,2,FALSE())-VLOOKUP(INT(E54),'Tank Tables'!$G$5:$H$130,2,FALSE())),0),IFERROR(ROUND(VLOOKUP(INT(E54),'Tank Tables'!$G$5:$H$130,2,FALSE()),0),"?")))</f>
        <v/>
      </c>
      <c r="N54" s="52" t="str">
        <f aca="false">IF(F54="","",IFERROR(ROUND(VLOOKUP(INT(F54),'Tank Tables'!$A$5:$B$121,2,FALSE())+(F54-INT(F54))*(VLOOKUP(INT(F54)+1,'Tank Tables'!$A$5:$B$121,2,FALSE())-VLOOKUP(INT(F54),'Tank Tables'!$A$5:$B$121,2,FALSE())),0),IFERROR(ROUND(VLOOKUP(INT(F54),'Tank Tables'!$A$5:$B$121,2,FALSE()),0),"?")))</f>
        <v/>
      </c>
      <c r="O54" s="52" t="str">
        <f aca="false">IF(G54="","",IFERROR(ROUND(VLOOKUP(INT(G54),'Tank Tables'!$C$5:$D$130,2,FALSE())+(G54-INT(G54))*(VLOOKUP(INT(G54)+1,'Tank Tables'!$C$5:$D$130,2,FALSE())-VLOOKUP(INT(G54),'Tank Tables'!$C$5:$D$130,2,FALSE())),0),IFERROR(ROUND(VLOOKUP(INT(G54),'Tank Tables'!$C$5:$D$130,2,FALSE()),0),"?")))</f>
        <v/>
      </c>
      <c r="P54" s="52" t="str">
        <f aca="false">IF(H54="","",IFERROR(ROUND(VLOOKUP(INT(H54),'Tank Tables'!$E$5:$F$130,2,FALSE())+(H54-INT(H54))*(VLOOKUP(INT(H54)+1,'Tank Tables'!$E$5:$F$130,2,FALSE())-VLOOKUP(INT(H54),'Tank Tables'!$E$5:$F$130,2,FALSE())),0),IFERROR(ROUND(VLOOKUP(INT(H54),'Tank Tables'!$E$5:$F$130,2,FALSE()),0),"?")))</f>
        <v/>
      </c>
      <c r="Q54" s="52" t="str">
        <f aca="false">IF(I54="","",IFERROR(ROUND(VLOOKUP(INT(I54),'Tank Tables'!$G$5:$H$130,2,FALSE())+(I54-INT(I54))*(VLOOKUP(INT(I54)+1,'Tank Tables'!$G$5:$H$130,2,FALSE())-VLOOKUP(INT(I54),'Tank Tables'!$G$5:$H$130,2,FALSE())),0),IFERROR(ROUND(VLOOKUP(INT(I54),'Tank Tables'!$G$5:$H$130,2,FALSE()),0),"?")))</f>
        <v/>
      </c>
      <c r="R54" s="47" t="str">
        <f aca="false">IF(COUNT(J54:M54)=0,"",SUM(J54:M54))</f>
        <v/>
      </c>
      <c r="S54" s="47" t="str">
        <f aca="false">IF(COUNT(N54:Q54)=0,"",SUM(N54:Q54))</f>
        <v/>
      </c>
      <c r="T54" s="53" t="str">
        <f aca="false">IF(COUNT(R54:S54)=0,"",SUM(R54:S54))</f>
        <v/>
      </c>
      <c r="U54" s="54"/>
      <c r="V54" s="47" t="str">
        <f aca="false">IF(T54="","",IF(T53="","",T53+U54-T54))</f>
        <v/>
      </c>
      <c r="W54" s="52" t="str">
        <f aca="false">IF(T54="","",Settings!$C$7-T54)</f>
        <v/>
      </c>
      <c r="X54" s="52" t="str">
        <f aca="false">IF(T54="","",MAX(0,INT(W54/Settings!$C$8)))</f>
        <v/>
      </c>
      <c r="Y54" s="55" t="str">
        <f aca="false">IF(T54="","",IF(X54&gt;=2,"ROOM FOR "&amp;X54&amp;" TRUCKS",IF(X54=1,"ROOM FOR 1 TRUCK","")))</f>
        <v/>
      </c>
      <c r="Z54" s="54"/>
      <c r="AA54" s="54"/>
      <c r="AB54" s="54"/>
      <c r="AC54" s="47" t="str">
        <f aca="false">IF(COUNT(Z54:AA54)=0,"",SUM(Z54:AA54))</f>
        <v/>
      </c>
      <c r="AD54" s="47" t="str">
        <f aca="false">IF(AC54="","",IF(AC53="","",AC53+AB54-AC54))</f>
        <v/>
      </c>
      <c r="AE54" s="54"/>
      <c r="AF54" s="54"/>
      <c r="AG54" s="47" t="str">
        <f aca="false">IF(AE54="","",IF(AE53="","",AE53+AF54-AE54))</f>
        <v/>
      </c>
      <c r="AH54" s="59"/>
    </row>
    <row r="55" customFormat="false" ht="19.5" hidden="false" customHeight="true" outlineLevel="0" collapsed="false">
      <c r="A55" s="44"/>
      <c r="B55" s="51"/>
      <c r="C55" s="51"/>
      <c r="D55" s="51"/>
      <c r="E55" s="51"/>
      <c r="F55" s="51"/>
      <c r="G55" s="51"/>
      <c r="H55" s="51"/>
      <c r="I55" s="51"/>
      <c r="J55" s="46" t="str">
        <f aca="false">IF(B55="","",IFERROR(ROUND(VLOOKUP(INT(B55),'Tank Tables'!$A$5:$B$121,2,FALSE())+(B55-INT(B55))*(VLOOKUP(INT(B55)+1,'Tank Tables'!$A$5:$B$121,2,FALSE())-VLOOKUP(INT(B55),'Tank Tables'!$A$5:$B$121,2,FALSE())),0),IFERROR(ROUND(VLOOKUP(INT(B55),'Tank Tables'!$A$5:$B$121,2,FALSE()),0),"?")))</f>
        <v/>
      </c>
      <c r="K55" s="46" t="str">
        <f aca="false">IF(C55="","",IFERROR(ROUND(VLOOKUP(INT(C55),'Tank Tables'!$C$5:$D$130,2,FALSE())+(C55-INT(C55))*(VLOOKUP(INT(C55)+1,'Tank Tables'!$C$5:$D$130,2,FALSE())-VLOOKUP(INT(C55),'Tank Tables'!$C$5:$D$130,2,FALSE())),0),IFERROR(ROUND(VLOOKUP(INT(C55),'Tank Tables'!$C$5:$D$130,2,FALSE()),0),"?")))</f>
        <v/>
      </c>
      <c r="L55" s="46" t="str">
        <f aca="false">IF(D55="","",IFERROR(ROUND(VLOOKUP(INT(D55),'Tank Tables'!$E$5:$F$130,2,FALSE())+(D55-INT(D55))*(VLOOKUP(INT(D55)+1,'Tank Tables'!$E$5:$F$130,2,FALSE())-VLOOKUP(INT(D55),'Tank Tables'!$E$5:$F$130,2,FALSE())),0),IFERROR(ROUND(VLOOKUP(INT(D55),'Tank Tables'!$E$5:$F$130,2,FALSE()),0),"?")))</f>
        <v/>
      </c>
      <c r="M55" s="46" t="str">
        <f aca="false">IF(E55="","",IFERROR(ROUND(VLOOKUP(INT(E55),'Tank Tables'!$G$5:$H$130,2,FALSE())+(E55-INT(E55))*(VLOOKUP(INT(E55)+1,'Tank Tables'!$G$5:$H$130,2,FALSE())-VLOOKUP(INT(E55),'Tank Tables'!$G$5:$H$130,2,FALSE())),0),IFERROR(ROUND(VLOOKUP(INT(E55),'Tank Tables'!$G$5:$H$130,2,FALSE()),0),"?")))</f>
        <v/>
      </c>
      <c r="N55" s="46" t="str">
        <f aca="false">IF(F55="","",IFERROR(ROUND(VLOOKUP(INT(F55),'Tank Tables'!$A$5:$B$121,2,FALSE())+(F55-INT(F55))*(VLOOKUP(INT(F55)+1,'Tank Tables'!$A$5:$B$121,2,FALSE())-VLOOKUP(INT(F55),'Tank Tables'!$A$5:$B$121,2,FALSE())),0),IFERROR(ROUND(VLOOKUP(INT(F55),'Tank Tables'!$A$5:$B$121,2,FALSE()),0),"?")))</f>
        <v/>
      </c>
      <c r="O55" s="46" t="str">
        <f aca="false">IF(G55="","",IFERROR(ROUND(VLOOKUP(INT(G55),'Tank Tables'!$C$5:$D$130,2,FALSE())+(G55-INT(G55))*(VLOOKUP(INT(G55)+1,'Tank Tables'!$C$5:$D$130,2,FALSE())-VLOOKUP(INT(G55),'Tank Tables'!$C$5:$D$130,2,FALSE())),0),IFERROR(ROUND(VLOOKUP(INT(G55),'Tank Tables'!$C$5:$D$130,2,FALSE()),0),"?")))</f>
        <v/>
      </c>
      <c r="P55" s="46" t="str">
        <f aca="false">IF(H55="","",IFERROR(ROUND(VLOOKUP(INT(H55),'Tank Tables'!$E$5:$F$130,2,FALSE())+(H55-INT(H55))*(VLOOKUP(INT(H55)+1,'Tank Tables'!$E$5:$F$130,2,FALSE())-VLOOKUP(INT(H55),'Tank Tables'!$E$5:$F$130,2,FALSE())),0),IFERROR(ROUND(VLOOKUP(INT(H55),'Tank Tables'!$E$5:$F$130,2,FALSE()),0),"?")))</f>
        <v/>
      </c>
      <c r="Q55" s="46" t="str">
        <f aca="false">IF(I55="","",IFERROR(ROUND(VLOOKUP(INT(I55),'Tank Tables'!$G$5:$H$130,2,FALSE())+(I55-INT(I55))*(VLOOKUP(INT(I55)+1,'Tank Tables'!$G$5:$H$130,2,FALSE())-VLOOKUP(INT(I55),'Tank Tables'!$G$5:$H$130,2,FALSE())),0),IFERROR(ROUND(VLOOKUP(INT(I55),'Tank Tables'!$G$5:$H$130,2,FALSE()),0),"?")))</f>
        <v/>
      </c>
      <c r="R55" s="47" t="str">
        <f aca="false">IF(COUNT(J55:M55)=0,"",SUM(J55:M55))</f>
        <v/>
      </c>
      <c r="S55" s="47" t="str">
        <f aca="false">IF(COUNT(N55:Q55)=0,"",SUM(N55:Q55))</f>
        <v/>
      </c>
      <c r="T55" s="53" t="str">
        <f aca="false">IF(COUNT(R55:S55)=0,"",SUM(R55:S55))</f>
        <v/>
      </c>
      <c r="U55" s="54"/>
      <c r="V55" s="47" t="str">
        <f aca="false">IF(T55="","",IF(T54="","",T54+U55-T55))</f>
        <v/>
      </c>
      <c r="W55" s="46" t="str">
        <f aca="false">IF(T55="","",Settings!$C$7-T55)</f>
        <v/>
      </c>
      <c r="X55" s="46" t="str">
        <f aca="false">IF(T55="","",MAX(0,INT(W55/Settings!$C$8)))</f>
        <v/>
      </c>
      <c r="Y55" s="57" t="str">
        <f aca="false">IF(T55="","",IF(X55&gt;=2,"ROOM FOR "&amp;X55&amp;" TRUCKS",IF(X55=1,"ROOM FOR 1 TRUCK","")))</f>
        <v/>
      </c>
      <c r="Z55" s="54"/>
      <c r="AA55" s="54"/>
      <c r="AB55" s="54"/>
      <c r="AC55" s="47" t="str">
        <f aca="false">IF(COUNT(Z55:AA55)=0,"",SUM(Z55:AA55))</f>
        <v/>
      </c>
      <c r="AD55" s="47" t="str">
        <f aca="false">IF(AC55="","",IF(AC54="","",AC54+AB55-AC55))</f>
        <v/>
      </c>
      <c r="AE55" s="54"/>
      <c r="AF55" s="54"/>
      <c r="AG55" s="47" t="str">
        <f aca="false">IF(AE55="","",IF(AE54="","",AE54+AF55-AE55))</f>
        <v/>
      </c>
      <c r="AH55" s="58"/>
    </row>
    <row r="56" customFormat="false" ht="19.5" hidden="false" customHeight="true" outlineLevel="0" collapsed="false">
      <c r="A56" s="44"/>
      <c r="B56" s="51"/>
      <c r="C56" s="51"/>
      <c r="D56" s="51"/>
      <c r="E56" s="51"/>
      <c r="F56" s="51"/>
      <c r="G56" s="51"/>
      <c r="H56" s="51"/>
      <c r="I56" s="51"/>
      <c r="J56" s="52" t="str">
        <f aca="false">IF(B56="","",IFERROR(ROUND(VLOOKUP(INT(B56),'Tank Tables'!$A$5:$B$121,2,FALSE())+(B56-INT(B56))*(VLOOKUP(INT(B56)+1,'Tank Tables'!$A$5:$B$121,2,FALSE())-VLOOKUP(INT(B56),'Tank Tables'!$A$5:$B$121,2,FALSE())),0),IFERROR(ROUND(VLOOKUP(INT(B56),'Tank Tables'!$A$5:$B$121,2,FALSE()),0),"?")))</f>
        <v/>
      </c>
      <c r="K56" s="52" t="str">
        <f aca="false">IF(C56="","",IFERROR(ROUND(VLOOKUP(INT(C56),'Tank Tables'!$C$5:$D$130,2,FALSE())+(C56-INT(C56))*(VLOOKUP(INT(C56)+1,'Tank Tables'!$C$5:$D$130,2,FALSE())-VLOOKUP(INT(C56),'Tank Tables'!$C$5:$D$130,2,FALSE())),0),IFERROR(ROUND(VLOOKUP(INT(C56),'Tank Tables'!$C$5:$D$130,2,FALSE()),0),"?")))</f>
        <v/>
      </c>
      <c r="L56" s="52" t="str">
        <f aca="false">IF(D56="","",IFERROR(ROUND(VLOOKUP(INT(D56),'Tank Tables'!$E$5:$F$130,2,FALSE())+(D56-INT(D56))*(VLOOKUP(INT(D56)+1,'Tank Tables'!$E$5:$F$130,2,FALSE())-VLOOKUP(INT(D56),'Tank Tables'!$E$5:$F$130,2,FALSE())),0),IFERROR(ROUND(VLOOKUP(INT(D56),'Tank Tables'!$E$5:$F$130,2,FALSE()),0),"?")))</f>
        <v/>
      </c>
      <c r="M56" s="52" t="str">
        <f aca="false">IF(E56="","",IFERROR(ROUND(VLOOKUP(INT(E56),'Tank Tables'!$G$5:$H$130,2,FALSE())+(E56-INT(E56))*(VLOOKUP(INT(E56)+1,'Tank Tables'!$G$5:$H$130,2,FALSE())-VLOOKUP(INT(E56),'Tank Tables'!$G$5:$H$130,2,FALSE())),0),IFERROR(ROUND(VLOOKUP(INT(E56),'Tank Tables'!$G$5:$H$130,2,FALSE()),0),"?")))</f>
        <v/>
      </c>
      <c r="N56" s="52" t="str">
        <f aca="false">IF(F56="","",IFERROR(ROUND(VLOOKUP(INT(F56),'Tank Tables'!$A$5:$B$121,2,FALSE())+(F56-INT(F56))*(VLOOKUP(INT(F56)+1,'Tank Tables'!$A$5:$B$121,2,FALSE())-VLOOKUP(INT(F56),'Tank Tables'!$A$5:$B$121,2,FALSE())),0),IFERROR(ROUND(VLOOKUP(INT(F56),'Tank Tables'!$A$5:$B$121,2,FALSE()),0),"?")))</f>
        <v/>
      </c>
      <c r="O56" s="52" t="str">
        <f aca="false">IF(G56="","",IFERROR(ROUND(VLOOKUP(INT(G56),'Tank Tables'!$C$5:$D$130,2,FALSE())+(G56-INT(G56))*(VLOOKUP(INT(G56)+1,'Tank Tables'!$C$5:$D$130,2,FALSE())-VLOOKUP(INT(G56),'Tank Tables'!$C$5:$D$130,2,FALSE())),0),IFERROR(ROUND(VLOOKUP(INT(G56),'Tank Tables'!$C$5:$D$130,2,FALSE()),0),"?")))</f>
        <v/>
      </c>
      <c r="P56" s="52" t="str">
        <f aca="false">IF(H56="","",IFERROR(ROUND(VLOOKUP(INT(H56),'Tank Tables'!$E$5:$F$130,2,FALSE())+(H56-INT(H56))*(VLOOKUP(INT(H56)+1,'Tank Tables'!$E$5:$F$130,2,FALSE())-VLOOKUP(INT(H56),'Tank Tables'!$E$5:$F$130,2,FALSE())),0),IFERROR(ROUND(VLOOKUP(INT(H56),'Tank Tables'!$E$5:$F$130,2,FALSE()),0),"?")))</f>
        <v/>
      </c>
      <c r="Q56" s="52" t="str">
        <f aca="false">IF(I56="","",IFERROR(ROUND(VLOOKUP(INT(I56),'Tank Tables'!$G$5:$H$130,2,FALSE())+(I56-INT(I56))*(VLOOKUP(INT(I56)+1,'Tank Tables'!$G$5:$H$130,2,FALSE())-VLOOKUP(INT(I56),'Tank Tables'!$G$5:$H$130,2,FALSE())),0),IFERROR(ROUND(VLOOKUP(INT(I56),'Tank Tables'!$G$5:$H$130,2,FALSE()),0),"?")))</f>
        <v/>
      </c>
      <c r="R56" s="47" t="str">
        <f aca="false">IF(COUNT(J56:M56)=0,"",SUM(J56:M56))</f>
        <v/>
      </c>
      <c r="S56" s="47" t="str">
        <f aca="false">IF(COUNT(N56:Q56)=0,"",SUM(N56:Q56))</f>
        <v/>
      </c>
      <c r="T56" s="53" t="str">
        <f aca="false">IF(COUNT(R56:S56)=0,"",SUM(R56:S56))</f>
        <v/>
      </c>
      <c r="U56" s="54"/>
      <c r="V56" s="47" t="str">
        <f aca="false">IF(T56="","",IF(T55="","",T55+U56-T56))</f>
        <v/>
      </c>
      <c r="W56" s="52" t="str">
        <f aca="false">IF(T56="","",Settings!$C$7-T56)</f>
        <v/>
      </c>
      <c r="X56" s="52" t="str">
        <f aca="false">IF(T56="","",MAX(0,INT(W56/Settings!$C$8)))</f>
        <v/>
      </c>
      <c r="Y56" s="55" t="str">
        <f aca="false">IF(T56="","",IF(X56&gt;=2,"ROOM FOR "&amp;X56&amp;" TRUCKS",IF(X56=1,"ROOM FOR 1 TRUCK","")))</f>
        <v/>
      </c>
      <c r="Z56" s="54"/>
      <c r="AA56" s="54"/>
      <c r="AB56" s="54"/>
      <c r="AC56" s="47" t="str">
        <f aca="false">IF(COUNT(Z56:AA56)=0,"",SUM(Z56:AA56))</f>
        <v/>
      </c>
      <c r="AD56" s="47" t="str">
        <f aca="false">IF(AC56="","",IF(AC55="","",AC55+AB56-AC56))</f>
        <v/>
      </c>
      <c r="AE56" s="54"/>
      <c r="AF56" s="54"/>
      <c r="AG56" s="47" t="str">
        <f aca="false">IF(AE56="","",IF(AE55="","",AE55+AF56-AE56))</f>
        <v/>
      </c>
      <c r="AH56" s="59"/>
    </row>
    <row r="57" customFormat="false" ht="19.5" hidden="false" customHeight="true" outlineLevel="0" collapsed="false">
      <c r="A57" s="44"/>
      <c r="B57" s="51"/>
      <c r="C57" s="51"/>
      <c r="D57" s="51"/>
      <c r="E57" s="51"/>
      <c r="F57" s="51"/>
      <c r="G57" s="51"/>
      <c r="H57" s="51"/>
      <c r="I57" s="51"/>
      <c r="J57" s="46" t="str">
        <f aca="false">IF(B57="","",IFERROR(ROUND(VLOOKUP(INT(B57),'Tank Tables'!$A$5:$B$121,2,FALSE())+(B57-INT(B57))*(VLOOKUP(INT(B57)+1,'Tank Tables'!$A$5:$B$121,2,FALSE())-VLOOKUP(INT(B57),'Tank Tables'!$A$5:$B$121,2,FALSE())),0),IFERROR(ROUND(VLOOKUP(INT(B57),'Tank Tables'!$A$5:$B$121,2,FALSE()),0),"?")))</f>
        <v/>
      </c>
      <c r="K57" s="46" t="str">
        <f aca="false">IF(C57="","",IFERROR(ROUND(VLOOKUP(INT(C57),'Tank Tables'!$C$5:$D$130,2,FALSE())+(C57-INT(C57))*(VLOOKUP(INT(C57)+1,'Tank Tables'!$C$5:$D$130,2,FALSE())-VLOOKUP(INT(C57),'Tank Tables'!$C$5:$D$130,2,FALSE())),0),IFERROR(ROUND(VLOOKUP(INT(C57),'Tank Tables'!$C$5:$D$130,2,FALSE()),0),"?")))</f>
        <v/>
      </c>
      <c r="L57" s="46" t="str">
        <f aca="false">IF(D57="","",IFERROR(ROUND(VLOOKUP(INT(D57),'Tank Tables'!$E$5:$F$130,2,FALSE())+(D57-INT(D57))*(VLOOKUP(INT(D57)+1,'Tank Tables'!$E$5:$F$130,2,FALSE())-VLOOKUP(INT(D57),'Tank Tables'!$E$5:$F$130,2,FALSE())),0),IFERROR(ROUND(VLOOKUP(INT(D57),'Tank Tables'!$E$5:$F$130,2,FALSE()),0),"?")))</f>
        <v/>
      </c>
      <c r="M57" s="46" t="str">
        <f aca="false">IF(E57="","",IFERROR(ROUND(VLOOKUP(INT(E57),'Tank Tables'!$G$5:$H$130,2,FALSE())+(E57-INT(E57))*(VLOOKUP(INT(E57)+1,'Tank Tables'!$G$5:$H$130,2,FALSE())-VLOOKUP(INT(E57),'Tank Tables'!$G$5:$H$130,2,FALSE())),0),IFERROR(ROUND(VLOOKUP(INT(E57),'Tank Tables'!$G$5:$H$130,2,FALSE()),0),"?")))</f>
        <v/>
      </c>
      <c r="N57" s="46" t="str">
        <f aca="false">IF(F57="","",IFERROR(ROUND(VLOOKUP(INT(F57),'Tank Tables'!$A$5:$B$121,2,FALSE())+(F57-INT(F57))*(VLOOKUP(INT(F57)+1,'Tank Tables'!$A$5:$B$121,2,FALSE())-VLOOKUP(INT(F57),'Tank Tables'!$A$5:$B$121,2,FALSE())),0),IFERROR(ROUND(VLOOKUP(INT(F57),'Tank Tables'!$A$5:$B$121,2,FALSE()),0),"?")))</f>
        <v/>
      </c>
      <c r="O57" s="46" t="str">
        <f aca="false">IF(G57="","",IFERROR(ROUND(VLOOKUP(INT(G57),'Tank Tables'!$C$5:$D$130,2,FALSE())+(G57-INT(G57))*(VLOOKUP(INT(G57)+1,'Tank Tables'!$C$5:$D$130,2,FALSE())-VLOOKUP(INT(G57),'Tank Tables'!$C$5:$D$130,2,FALSE())),0),IFERROR(ROUND(VLOOKUP(INT(G57),'Tank Tables'!$C$5:$D$130,2,FALSE()),0),"?")))</f>
        <v/>
      </c>
      <c r="P57" s="46" t="str">
        <f aca="false">IF(H57="","",IFERROR(ROUND(VLOOKUP(INT(H57),'Tank Tables'!$E$5:$F$130,2,FALSE())+(H57-INT(H57))*(VLOOKUP(INT(H57)+1,'Tank Tables'!$E$5:$F$130,2,FALSE())-VLOOKUP(INT(H57),'Tank Tables'!$E$5:$F$130,2,FALSE())),0),IFERROR(ROUND(VLOOKUP(INT(H57),'Tank Tables'!$E$5:$F$130,2,FALSE()),0),"?")))</f>
        <v/>
      </c>
      <c r="Q57" s="46" t="str">
        <f aca="false">IF(I57="","",IFERROR(ROUND(VLOOKUP(INT(I57),'Tank Tables'!$G$5:$H$130,2,FALSE())+(I57-INT(I57))*(VLOOKUP(INT(I57)+1,'Tank Tables'!$G$5:$H$130,2,FALSE())-VLOOKUP(INT(I57),'Tank Tables'!$G$5:$H$130,2,FALSE())),0),IFERROR(ROUND(VLOOKUP(INT(I57),'Tank Tables'!$G$5:$H$130,2,FALSE()),0),"?")))</f>
        <v/>
      </c>
      <c r="R57" s="47" t="str">
        <f aca="false">IF(COUNT(J57:M57)=0,"",SUM(J57:M57))</f>
        <v/>
      </c>
      <c r="S57" s="47" t="str">
        <f aca="false">IF(COUNT(N57:Q57)=0,"",SUM(N57:Q57))</f>
        <v/>
      </c>
      <c r="T57" s="53" t="str">
        <f aca="false">IF(COUNT(R57:S57)=0,"",SUM(R57:S57))</f>
        <v/>
      </c>
      <c r="U57" s="54"/>
      <c r="V57" s="47" t="str">
        <f aca="false">IF(T57="","",IF(T56="","",T56+U57-T57))</f>
        <v/>
      </c>
      <c r="W57" s="46" t="str">
        <f aca="false">IF(T57="","",Settings!$C$7-T57)</f>
        <v/>
      </c>
      <c r="X57" s="46" t="str">
        <f aca="false">IF(T57="","",MAX(0,INT(W57/Settings!$C$8)))</f>
        <v/>
      </c>
      <c r="Y57" s="57" t="str">
        <f aca="false">IF(T57="","",IF(X57&gt;=2,"ROOM FOR "&amp;X57&amp;" TRUCKS",IF(X57=1,"ROOM FOR 1 TRUCK","")))</f>
        <v/>
      </c>
      <c r="Z57" s="54"/>
      <c r="AA57" s="54"/>
      <c r="AB57" s="54"/>
      <c r="AC57" s="47" t="str">
        <f aca="false">IF(COUNT(Z57:AA57)=0,"",SUM(Z57:AA57))</f>
        <v/>
      </c>
      <c r="AD57" s="47" t="str">
        <f aca="false">IF(AC57="","",IF(AC56="","",AC56+AB57-AC57))</f>
        <v/>
      </c>
      <c r="AE57" s="54"/>
      <c r="AF57" s="54"/>
      <c r="AG57" s="47" t="str">
        <f aca="false">IF(AE57="","",IF(AE56="","",AE56+AF57-AE57))</f>
        <v/>
      </c>
      <c r="AH57" s="58"/>
    </row>
    <row r="58" customFormat="false" ht="19.5" hidden="false" customHeight="true" outlineLevel="0" collapsed="false">
      <c r="A58" s="44"/>
      <c r="B58" s="51"/>
      <c r="C58" s="51"/>
      <c r="D58" s="51"/>
      <c r="E58" s="51"/>
      <c r="F58" s="51"/>
      <c r="G58" s="51"/>
      <c r="H58" s="51"/>
      <c r="I58" s="51"/>
      <c r="J58" s="52" t="str">
        <f aca="false">IF(B58="","",IFERROR(ROUND(VLOOKUP(INT(B58),'Tank Tables'!$A$5:$B$121,2,FALSE())+(B58-INT(B58))*(VLOOKUP(INT(B58)+1,'Tank Tables'!$A$5:$B$121,2,FALSE())-VLOOKUP(INT(B58),'Tank Tables'!$A$5:$B$121,2,FALSE())),0),IFERROR(ROUND(VLOOKUP(INT(B58),'Tank Tables'!$A$5:$B$121,2,FALSE()),0),"?")))</f>
        <v/>
      </c>
      <c r="K58" s="52" t="str">
        <f aca="false">IF(C58="","",IFERROR(ROUND(VLOOKUP(INT(C58),'Tank Tables'!$C$5:$D$130,2,FALSE())+(C58-INT(C58))*(VLOOKUP(INT(C58)+1,'Tank Tables'!$C$5:$D$130,2,FALSE())-VLOOKUP(INT(C58),'Tank Tables'!$C$5:$D$130,2,FALSE())),0),IFERROR(ROUND(VLOOKUP(INT(C58),'Tank Tables'!$C$5:$D$130,2,FALSE()),0),"?")))</f>
        <v/>
      </c>
      <c r="L58" s="52" t="str">
        <f aca="false">IF(D58="","",IFERROR(ROUND(VLOOKUP(INT(D58),'Tank Tables'!$E$5:$F$130,2,FALSE())+(D58-INT(D58))*(VLOOKUP(INT(D58)+1,'Tank Tables'!$E$5:$F$130,2,FALSE())-VLOOKUP(INT(D58),'Tank Tables'!$E$5:$F$130,2,FALSE())),0),IFERROR(ROUND(VLOOKUP(INT(D58),'Tank Tables'!$E$5:$F$130,2,FALSE()),0),"?")))</f>
        <v/>
      </c>
      <c r="M58" s="52" t="str">
        <f aca="false">IF(E58="","",IFERROR(ROUND(VLOOKUP(INT(E58),'Tank Tables'!$G$5:$H$130,2,FALSE())+(E58-INT(E58))*(VLOOKUP(INT(E58)+1,'Tank Tables'!$G$5:$H$130,2,FALSE())-VLOOKUP(INT(E58),'Tank Tables'!$G$5:$H$130,2,FALSE())),0),IFERROR(ROUND(VLOOKUP(INT(E58),'Tank Tables'!$G$5:$H$130,2,FALSE()),0),"?")))</f>
        <v/>
      </c>
      <c r="N58" s="52" t="str">
        <f aca="false">IF(F58="","",IFERROR(ROUND(VLOOKUP(INT(F58),'Tank Tables'!$A$5:$B$121,2,FALSE())+(F58-INT(F58))*(VLOOKUP(INT(F58)+1,'Tank Tables'!$A$5:$B$121,2,FALSE())-VLOOKUP(INT(F58),'Tank Tables'!$A$5:$B$121,2,FALSE())),0),IFERROR(ROUND(VLOOKUP(INT(F58),'Tank Tables'!$A$5:$B$121,2,FALSE()),0),"?")))</f>
        <v/>
      </c>
      <c r="O58" s="52" t="str">
        <f aca="false">IF(G58="","",IFERROR(ROUND(VLOOKUP(INT(G58),'Tank Tables'!$C$5:$D$130,2,FALSE())+(G58-INT(G58))*(VLOOKUP(INT(G58)+1,'Tank Tables'!$C$5:$D$130,2,FALSE())-VLOOKUP(INT(G58),'Tank Tables'!$C$5:$D$130,2,FALSE())),0),IFERROR(ROUND(VLOOKUP(INT(G58),'Tank Tables'!$C$5:$D$130,2,FALSE()),0),"?")))</f>
        <v/>
      </c>
      <c r="P58" s="52" t="str">
        <f aca="false">IF(H58="","",IFERROR(ROUND(VLOOKUP(INT(H58),'Tank Tables'!$E$5:$F$130,2,FALSE())+(H58-INT(H58))*(VLOOKUP(INT(H58)+1,'Tank Tables'!$E$5:$F$130,2,FALSE())-VLOOKUP(INT(H58),'Tank Tables'!$E$5:$F$130,2,FALSE())),0),IFERROR(ROUND(VLOOKUP(INT(H58),'Tank Tables'!$E$5:$F$130,2,FALSE()),0),"?")))</f>
        <v/>
      </c>
      <c r="Q58" s="52" t="str">
        <f aca="false">IF(I58="","",IFERROR(ROUND(VLOOKUP(INT(I58),'Tank Tables'!$G$5:$H$130,2,FALSE())+(I58-INT(I58))*(VLOOKUP(INT(I58)+1,'Tank Tables'!$G$5:$H$130,2,FALSE())-VLOOKUP(INT(I58),'Tank Tables'!$G$5:$H$130,2,FALSE())),0),IFERROR(ROUND(VLOOKUP(INT(I58),'Tank Tables'!$G$5:$H$130,2,FALSE()),0),"?")))</f>
        <v/>
      </c>
      <c r="R58" s="47" t="str">
        <f aca="false">IF(COUNT(J58:M58)=0,"",SUM(J58:M58))</f>
        <v/>
      </c>
      <c r="S58" s="47" t="str">
        <f aca="false">IF(COUNT(N58:Q58)=0,"",SUM(N58:Q58))</f>
        <v/>
      </c>
      <c r="T58" s="53" t="str">
        <f aca="false">IF(COUNT(R58:S58)=0,"",SUM(R58:S58))</f>
        <v/>
      </c>
      <c r="U58" s="54"/>
      <c r="V58" s="47" t="str">
        <f aca="false">IF(T58="","",IF(T57="","",T57+U58-T58))</f>
        <v/>
      </c>
      <c r="W58" s="52" t="str">
        <f aca="false">IF(T58="","",Settings!$C$7-T58)</f>
        <v/>
      </c>
      <c r="X58" s="52" t="str">
        <f aca="false">IF(T58="","",MAX(0,INT(W58/Settings!$C$8)))</f>
        <v/>
      </c>
      <c r="Y58" s="55" t="str">
        <f aca="false">IF(T58="","",IF(X58&gt;=2,"ROOM FOR "&amp;X58&amp;" TRUCKS",IF(X58=1,"ROOM FOR 1 TRUCK","")))</f>
        <v/>
      </c>
      <c r="Z58" s="54"/>
      <c r="AA58" s="54"/>
      <c r="AB58" s="54"/>
      <c r="AC58" s="47" t="str">
        <f aca="false">IF(COUNT(Z58:AA58)=0,"",SUM(Z58:AA58))</f>
        <v/>
      </c>
      <c r="AD58" s="47" t="str">
        <f aca="false">IF(AC58="","",IF(AC57="","",AC57+AB58-AC58))</f>
        <v/>
      </c>
      <c r="AE58" s="54"/>
      <c r="AF58" s="54"/>
      <c r="AG58" s="47" t="str">
        <f aca="false">IF(AE58="","",IF(AE57="","",AE57+AF58-AE58))</f>
        <v/>
      </c>
      <c r="AH58" s="59"/>
    </row>
    <row r="59" customFormat="false" ht="19.5" hidden="false" customHeight="true" outlineLevel="0" collapsed="false">
      <c r="A59" s="44"/>
      <c r="B59" s="51"/>
      <c r="C59" s="51"/>
      <c r="D59" s="51"/>
      <c r="E59" s="51"/>
      <c r="F59" s="51"/>
      <c r="G59" s="51"/>
      <c r="H59" s="51"/>
      <c r="I59" s="51"/>
      <c r="J59" s="46" t="str">
        <f aca="false">IF(B59="","",IFERROR(ROUND(VLOOKUP(INT(B59),'Tank Tables'!$A$5:$B$121,2,FALSE())+(B59-INT(B59))*(VLOOKUP(INT(B59)+1,'Tank Tables'!$A$5:$B$121,2,FALSE())-VLOOKUP(INT(B59),'Tank Tables'!$A$5:$B$121,2,FALSE())),0),IFERROR(ROUND(VLOOKUP(INT(B59),'Tank Tables'!$A$5:$B$121,2,FALSE()),0),"?")))</f>
        <v/>
      </c>
      <c r="K59" s="46" t="str">
        <f aca="false">IF(C59="","",IFERROR(ROUND(VLOOKUP(INT(C59),'Tank Tables'!$C$5:$D$130,2,FALSE())+(C59-INT(C59))*(VLOOKUP(INT(C59)+1,'Tank Tables'!$C$5:$D$130,2,FALSE())-VLOOKUP(INT(C59),'Tank Tables'!$C$5:$D$130,2,FALSE())),0),IFERROR(ROUND(VLOOKUP(INT(C59),'Tank Tables'!$C$5:$D$130,2,FALSE()),0),"?")))</f>
        <v/>
      </c>
      <c r="L59" s="46" t="str">
        <f aca="false">IF(D59="","",IFERROR(ROUND(VLOOKUP(INT(D59),'Tank Tables'!$E$5:$F$130,2,FALSE())+(D59-INT(D59))*(VLOOKUP(INT(D59)+1,'Tank Tables'!$E$5:$F$130,2,FALSE())-VLOOKUP(INT(D59),'Tank Tables'!$E$5:$F$130,2,FALSE())),0),IFERROR(ROUND(VLOOKUP(INT(D59),'Tank Tables'!$E$5:$F$130,2,FALSE()),0),"?")))</f>
        <v/>
      </c>
      <c r="M59" s="46" t="str">
        <f aca="false">IF(E59="","",IFERROR(ROUND(VLOOKUP(INT(E59),'Tank Tables'!$G$5:$H$130,2,FALSE())+(E59-INT(E59))*(VLOOKUP(INT(E59)+1,'Tank Tables'!$G$5:$H$130,2,FALSE())-VLOOKUP(INT(E59),'Tank Tables'!$G$5:$H$130,2,FALSE())),0),IFERROR(ROUND(VLOOKUP(INT(E59),'Tank Tables'!$G$5:$H$130,2,FALSE()),0),"?")))</f>
        <v/>
      </c>
      <c r="N59" s="46" t="str">
        <f aca="false">IF(F59="","",IFERROR(ROUND(VLOOKUP(INT(F59),'Tank Tables'!$A$5:$B$121,2,FALSE())+(F59-INT(F59))*(VLOOKUP(INT(F59)+1,'Tank Tables'!$A$5:$B$121,2,FALSE())-VLOOKUP(INT(F59),'Tank Tables'!$A$5:$B$121,2,FALSE())),0),IFERROR(ROUND(VLOOKUP(INT(F59),'Tank Tables'!$A$5:$B$121,2,FALSE()),0),"?")))</f>
        <v/>
      </c>
      <c r="O59" s="46" t="str">
        <f aca="false">IF(G59="","",IFERROR(ROUND(VLOOKUP(INT(G59),'Tank Tables'!$C$5:$D$130,2,FALSE())+(G59-INT(G59))*(VLOOKUP(INT(G59)+1,'Tank Tables'!$C$5:$D$130,2,FALSE())-VLOOKUP(INT(G59),'Tank Tables'!$C$5:$D$130,2,FALSE())),0),IFERROR(ROUND(VLOOKUP(INT(G59),'Tank Tables'!$C$5:$D$130,2,FALSE()),0),"?")))</f>
        <v/>
      </c>
      <c r="P59" s="46" t="str">
        <f aca="false">IF(H59="","",IFERROR(ROUND(VLOOKUP(INT(H59),'Tank Tables'!$E$5:$F$130,2,FALSE())+(H59-INT(H59))*(VLOOKUP(INT(H59)+1,'Tank Tables'!$E$5:$F$130,2,FALSE())-VLOOKUP(INT(H59),'Tank Tables'!$E$5:$F$130,2,FALSE())),0),IFERROR(ROUND(VLOOKUP(INT(H59),'Tank Tables'!$E$5:$F$130,2,FALSE()),0),"?")))</f>
        <v/>
      </c>
      <c r="Q59" s="46" t="str">
        <f aca="false">IF(I59="","",IFERROR(ROUND(VLOOKUP(INT(I59),'Tank Tables'!$G$5:$H$130,2,FALSE())+(I59-INT(I59))*(VLOOKUP(INT(I59)+1,'Tank Tables'!$G$5:$H$130,2,FALSE())-VLOOKUP(INT(I59),'Tank Tables'!$G$5:$H$130,2,FALSE())),0),IFERROR(ROUND(VLOOKUP(INT(I59),'Tank Tables'!$G$5:$H$130,2,FALSE()),0),"?")))</f>
        <v/>
      </c>
      <c r="R59" s="47" t="str">
        <f aca="false">IF(COUNT(J59:M59)=0,"",SUM(J59:M59))</f>
        <v/>
      </c>
      <c r="S59" s="47" t="str">
        <f aca="false">IF(COUNT(N59:Q59)=0,"",SUM(N59:Q59))</f>
        <v/>
      </c>
      <c r="T59" s="53" t="str">
        <f aca="false">IF(COUNT(R59:S59)=0,"",SUM(R59:S59))</f>
        <v/>
      </c>
      <c r="U59" s="54"/>
      <c r="V59" s="47" t="str">
        <f aca="false">IF(T59="","",IF(T58="","",T58+U59-T59))</f>
        <v/>
      </c>
      <c r="W59" s="46" t="str">
        <f aca="false">IF(T59="","",Settings!$C$7-T59)</f>
        <v/>
      </c>
      <c r="X59" s="46" t="str">
        <f aca="false">IF(T59="","",MAX(0,INT(W59/Settings!$C$8)))</f>
        <v/>
      </c>
      <c r="Y59" s="57" t="str">
        <f aca="false">IF(T59="","",IF(X59&gt;=2,"ROOM FOR "&amp;X59&amp;" TRUCKS",IF(X59=1,"ROOM FOR 1 TRUCK","")))</f>
        <v/>
      </c>
      <c r="Z59" s="54"/>
      <c r="AA59" s="54"/>
      <c r="AB59" s="54"/>
      <c r="AC59" s="47" t="str">
        <f aca="false">IF(COUNT(Z59:AA59)=0,"",SUM(Z59:AA59))</f>
        <v/>
      </c>
      <c r="AD59" s="47" t="str">
        <f aca="false">IF(AC59="","",IF(AC58="","",AC58+AB59-AC59))</f>
        <v/>
      </c>
      <c r="AE59" s="54"/>
      <c r="AF59" s="54"/>
      <c r="AG59" s="47" t="str">
        <f aca="false">IF(AE59="","",IF(AE58="","",AE58+AF59-AE59))</f>
        <v/>
      </c>
      <c r="AH59" s="58"/>
    </row>
    <row r="60" customFormat="false" ht="19.5" hidden="false" customHeight="true" outlineLevel="0" collapsed="false">
      <c r="A60" s="44"/>
      <c r="B60" s="51"/>
      <c r="C60" s="51"/>
      <c r="D60" s="51"/>
      <c r="E60" s="51"/>
      <c r="F60" s="51"/>
      <c r="G60" s="51"/>
      <c r="H60" s="51"/>
      <c r="I60" s="51"/>
      <c r="J60" s="52" t="str">
        <f aca="false">IF(B60="","",IFERROR(ROUND(VLOOKUP(INT(B60),'Tank Tables'!$A$5:$B$121,2,FALSE())+(B60-INT(B60))*(VLOOKUP(INT(B60)+1,'Tank Tables'!$A$5:$B$121,2,FALSE())-VLOOKUP(INT(B60),'Tank Tables'!$A$5:$B$121,2,FALSE())),0),IFERROR(ROUND(VLOOKUP(INT(B60),'Tank Tables'!$A$5:$B$121,2,FALSE()),0),"?")))</f>
        <v/>
      </c>
      <c r="K60" s="52" t="str">
        <f aca="false">IF(C60="","",IFERROR(ROUND(VLOOKUP(INT(C60),'Tank Tables'!$C$5:$D$130,2,FALSE())+(C60-INT(C60))*(VLOOKUP(INT(C60)+1,'Tank Tables'!$C$5:$D$130,2,FALSE())-VLOOKUP(INT(C60),'Tank Tables'!$C$5:$D$130,2,FALSE())),0),IFERROR(ROUND(VLOOKUP(INT(C60),'Tank Tables'!$C$5:$D$130,2,FALSE()),0),"?")))</f>
        <v/>
      </c>
      <c r="L60" s="52" t="str">
        <f aca="false">IF(D60="","",IFERROR(ROUND(VLOOKUP(INT(D60),'Tank Tables'!$E$5:$F$130,2,FALSE())+(D60-INT(D60))*(VLOOKUP(INT(D60)+1,'Tank Tables'!$E$5:$F$130,2,FALSE())-VLOOKUP(INT(D60),'Tank Tables'!$E$5:$F$130,2,FALSE())),0),IFERROR(ROUND(VLOOKUP(INT(D60),'Tank Tables'!$E$5:$F$130,2,FALSE()),0),"?")))</f>
        <v/>
      </c>
      <c r="M60" s="52" t="str">
        <f aca="false">IF(E60="","",IFERROR(ROUND(VLOOKUP(INT(E60),'Tank Tables'!$G$5:$H$130,2,FALSE())+(E60-INT(E60))*(VLOOKUP(INT(E60)+1,'Tank Tables'!$G$5:$H$130,2,FALSE())-VLOOKUP(INT(E60),'Tank Tables'!$G$5:$H$130,2,FALSE())),0),IFERROR(ROUND(VLOOKUP(INT(E60),'Tank Tables'!$G$5:$H$130,2,FALSE()),0),"?")))</f>
        <v/>
      </c>
      <c r="N60" s="52" t="str">
        <f aca="false">IF(F60="","",IFERROR(ROUND(VLOOKUP(INT(F60),'Tank Tables'!$A$5:$B$121,2,FALSE())+(F60-INT(F60))*(VLOOKUP(INT(F60)+1,'Tank Tables'!$A$5:$B$121,2,FALSE())-VLOOKUP(INT(F60),'Tank Tables'!$A$5:$B$121,2,FALSE())),0),IFERROR(ROUND(VLOOKUP(INT(F60),'Tank Tables'!$A$5:$B$121,2,FALSE()),0),"?")))</f>
        <v/>
      </c>
      <c r="O60" s="52" t="str">
        <f aca="false">IF(G60="","",IFERROR(ROUND(VLOOKUP(INT(G60),'Tank Tables'!$C$5:$D$130,2,FALSE())+(G60-INT(G60))*(VLOOKUP(INT(G60)+1,'Tank Tables'!$C$5:$D$130,2,FALSE())-VLOOKUP(INT(G60),'Tank Tables'!$C$5:$D$130,2,FALSE())),0),IFERROR(ROUND(VLOOKUP(INT(G60),'Tank Tables'!$C$5:$D$130,2,FALSE()),0),"?")))</f>
        <v/>
      </c>
      <c r="P60" s="52" t="str">
        <f aca="false">IF(H60="","",IFERROR(ROUND(VLOOKUP(INT(H60),'Tank Tables'!$E$5:$F$130,2,FALSE())+(H60-INT(H60))*(VLOOKUP(INT(H60)+1,'Tank Tables'!$E$5:$F$130,2,FALSE())-VLOOKUP(INT(H60),'Tank Tables'!$E$5:$F$130,2,FALSE())),0),IFERROR(ROUND(VLOOKUP(INT(H60),'Tank Tables'!$E$5:$F$130,2,FALSE()),0),"?")))</f>
        <v/>
      </c>
      <c r="Q60" s="52" t="str">
        <f aca="false">IF(I60="","",IFERROR(ROUND(VLOOKUP(INT(I60),'Tank Tables'!$G$5:$H$130,2,FALSE())+(I60-INT(I60))*(VLOOKUP(INT(I60)+1,'Tank Tables'!$G$5:$H$130,2,FALSE())-VLOOKUP(INT(I60),'Tank Tables'!$G$5:$H$130,2,FALSE())),0),IFERROR(ROUND(VLOOKUP(INT(I60),'Tank Tables'!$G$5:$H$130,2,FALSE()),0),"?")))</f>
        <v/>
      </c>
      <c r="R60" s="47" t="str">
        <f aca="false">IF(COUNT(J60:M60)=0,"",SUM(J60:M60))</f>
        <v/>
      </c>
      <c r="S60" s="47" t="str">
        <f aca="false">IF(COUNT(N60:Q60)=0,"",SUM(N60:Q60))</f>
        <v/>
      </c>
      <c r="T60" s="53" t="str">
        <f aca="false">IF(COUNT(R60:S60)=0,"",SUM(R60:S60))</f>
        <v/>
      </c>
      <c r="U60" s="54"/>
      <c r="V60" s="47" t="str">
        <f aca="false">IF(T60="","",IF(T59="","",T59+U60-T60))</f>
        <v/>
      </c>
      <c r="W60" s="52" t="str">
        <f aca="false">IF(T60="","",Settings!$C$7-T60)</f>
        <v/>
      </c>
      <c r="X60" s="52" t="str">
        <f aca="false">IF(T60="","",MAX(0,INT(W60/Settings!$C$8)))</f>
        <v/>
      </c>
      <c r="Y60" s="55" t="str">
        <f aca="false">IF(T60="","",IF(X60&gt;=2,"ROOM FOR "&amp;X60&amp;" TRUCKS",IF(X60=1,"ROOM FOR 1 TRUCK","")))</f>
        <v/>
      </c>
      <c r="Z60" s="54"/>
      <c r="AA60" s="54"/>
      <c r="AB60" s="54"/>
      <c r="AC60" s="47" t="str">
        <f aca="false">IF(COUNT(Z60:AA60)=0,"",SUM(Z60:AA60))</f>
        <v/>
      </c>
      <c r="AD60" s="47" t="str">
        <f aca="false">IF(AC60="","",IF(AC59="","",AC59+AB60-AC60))</f>
        <v/>
      </c>
      <c r="AE60" s="54"/>
      <c r="AF60" s="54"/>
      <c r="AG60" s="47" t="str">
        <f aca="false">IF(AE60="","",IF(AE59="","",AE59+AF60-AE60))</f>
        <v/>
      </c>
      <c r="AH60" s="59"/>
    </row>
    <row r="61" customFormat="false" ht="19.5" hidden="false" customHeight="true" outlineLevel="0" collapsed="false">
      <c r="A61" s="44"/>
      <c r="B61" s="51"/>
      <c r="C61" s="51"/>
      <c r="D61" s="51"/>
      <c r="E61" s="51"/>
      <c r="F61" s="51"/>
      <c r="G61" s="51"/>
      <c r="H61" s="51"/>
      <c r="I61" s="51"/>
      <c r="J61" s="46" t="str">
        <f aca="false">IF(B61="","",IFERROR(ROUND(VLOOKUP(INT(B61),'Tank Tables'!$A$5:$B$121,2,FALSE())+(B61-INT(B61))*(VLOOKUP(INT(B61)+1,'Tank Tables'!$A$5:$B$121,2,FALSE())-VLOOKUP(INT(B61),'Tank Tables'!$A$5:$B$121,2,FALSE())),0),IFERROR(ROUND(VLOOKUP(INT(B61),'Tank Tables'!$A$5:$B$121,2,FALSE()),0),"?")))</f>
        <v/>
      </c>
      <c r="K61" s="46" t="str">
        <f aca="false">IF(C61="","",IFERROR(ROUND(VLOOKUP(INT(C61),'Tank Tables'!$C$5:$D$130,2,FALSE())+(C61-INT(C61))*(VLOOKUP(INT(C61)+1,'Tank Tables'!$C$5:$D$130,2,FALSE())-VLOOKUP(INT(C61),'Tank Tables'!$C$5:$D$130,2,FALSE())),0),IFERROR(ROUND(VLOOKUP(INT(C61),'Tank Tables'!$C$5:$D$130,2,FALSE()),0),"?")))</f>
        <v/>
      </c>
      <c r="L61" s="46" t="str">
        <f aca="false">IF(D61="","",IFERROR(ROUND(VLOOKUP(INT(D61),'Tank Tables'!$E$5:$F$130,2,FALSE())+(D61-INT(D61))*(VLOOKUP(INT(D61)+1,'Tank Tables'!$E$5:$F$130,2,FALSE())-VLOOKUP(INT(D61),'Tank Tables'!$E$5:$F$130,2,FALSE())),0),IFERROR(ROUND(VLOOKUP(INT(D61),'Tank Tables'!$E$5:$F$130,2,FALSE()),0),"?")))</f>
        <v/>
      </c>
      <c r="M61" s="46" t="str">
        <f aca="false">IF(E61="","",IFERROR(ROUND(VLOOKUP(INT(E61),'Tank Tables'!$G$5:$H$130,2,FALSE())+(E61-INT(E61))*(VLOOKUP(INT(E61)+1,'Tank Tables'!$G$5:$H$130,2,FALSE())-VLOOKUP(INT(E61),'Tank Tables'!$G$5:$H$130,2,FALSE())),0),IFERROR(ROUND(VLOOKUP(INT(E61),'Tank Tables'!$G$5:$H$130,2,FALSE()),0),"?")))</f>
        <v/>
      </c>
      <c r="N61" s="46" t="str">
        <f aca="false">IF(F61="","",IFERROR(ROUND(VLOOKUP(INT(F61),'Tank Tables'!$A$5:$B$121,2,FALSE())+(F61-INT(F61))*(VLOOKUP(INT(F61)+1,'Tank Tables'!$A$5:$B$121,2,FALSE())-VLOOKUP(INT(F61),'Tank Tables'!$A$5:$B$121,2,FALSE())),0),IFERROR(ROUND(VLOOKUP(INT(F61),'Tank Tables'!$A$5:$B$121,2,FALSE()),0),"?")))</f>
        <v/>
      </c>
      <c r="O61" s="46" t="str">
        <f aca="false">IF(G61="","",IFERROR(ROUND(VLOOKUP(INT(G61),'Tank Tables'!$C$5:$D$130,2,FALSE())+(G61-INT(G61))*(VLOOKUP(INT(G61)+1,'Tank Tables'!$C$5:$D$130,2,FALSE())-VLOOKUP(INT(G61),'Tank Tables'!$C$5:$D$130,2,FALSE())),0),IFERROR(ROUND(VLOOKUP(INT(G61),'Tank Tables'!$C$5:$D$130,2,FALSE()),0),"?")))</f>
        <v/>
      </c>
      <c r="P61" s="46" t="str">
        <f aca="false">IF(H61="","",IFERROR(ROUND(VLOOKUP(INT(H61),'Tank Tables'!$E$5:$F$130,2,FALSE())+(H61-INT(H61))*(VLOOKUP(INT(H61)+1,'Tank Tables'!$E$5:$F$130,2,FALSE())-VLOOKUP(INT(H61),'Tank Tables'!$E$5:$F$130,2,FALSE())),0),IFERROR(ROUND(VLOOKUP(INT(H61),'Tank Tables'!$E$5:$F$130,2,FALSE()),0),"?")))</f>
        <v/>
      </c>
      <c r="Q61" s="46" t="str">
        <f aca="false">IF(I61="","",IFERROR(ROUND(VLOOKUP(INT(I61),'Tank Tables'!$G$5:$H$130,2,FALSE())+(I61-INT(I61))*(VLOOKUP(INT(I61)+1,'Tank Tables'!$G$5:$H$130,2,FALSE())-VLOOKUP(INT(I61),'Tank Tables'!$G$5:$H$130,2,FALSE())),0),IFERROR(ROUND(VLOOKUP(INT(I61),'Tank Tables'!$G$5:$H$130,2,FALSE()),0),"?")))</f>
        <v/>
      </c>
      <c r="R61" s="47" t="str">
        <f aca="false">IF(COUNT(J61:M61)=0,"",SUM(J61:M61))</f>
        <v/>
      </c>
      <c r="S61" s="47" t="str">
        <f aca="false">IF(COUNT(N61:Q61)=0,"",SUM(N61:Q61))</f>
        <v/>
      </c>
      <c r="T61" s="53" t="str">
        <f aca="false">IF(COUNT(R61:S61)=0,"",SUM(R61:S61))</f>
        <v/>
      </c>
      <c r="U61" s="54"/>
      <c r="V61" s="47" t="str">
        <f aca="false">IF(T61="","",IF(T60="","",T60+U61-T61))</f>
        <v/>
      </c>
      <c r="W61" s="46" t="str">
        <f aca="false">IF(T61="","",Settings!$C$7-T61)</f>
        <v/>
      </c>
      <c r="X61" s="46" t="str">
        <f aca="false">IF(T61="","",MAX(0,INT(W61/Settings!$C$8)))</f>
        <v/>
      </c>
      <c r="Y61" s="57" t="str">
        <f aca="false">IF(T61="","",IF(X61&gt;=2,"ROOM FOR "&amp;X61&amp;" TRUCKS",IF(X61=1,"ROOM FOR 1 TRUCK","")))</f>
        <v/>
      </c>
      <c r="Z61" s="54"/>
      <c r="AA61" s="54"/>
      <c r="AB61" s="54"/>
      <c r="AC61" s="47" t="str">
        <f aca="false">IF(COUNT(Z61:AA61)=0,"",SUM(Z61:AA61))</f>
        <v/>
      </c>
      <c r="AD61" s="47" t="str">
        <f aca="false">IF(AC61="","",IF(AC60="","",AC60+AB61-AC61))</f>
        <v/>
      </c>
      <c r="AE61" s="54"/>
      <c r="AF61" s="54"/>
      <c r="AG61" s="47" t="str">
        <f aca="false">IF(AE61="","",IF(AE60="","",AE60+AF61-AE61))</f>
        <v/>
      </c>
      <c r="AH61" s="58"/>
    </row>
    <row r="62" customFormat="false" ht="19.5" hidden="false" customHeight="true" outlineLevel="0" collapsed="false">
      <c r="A62" s="44"/>
      <c r="B62" s="51"/>
      <c r="C62" s="51"/>
      <c r="D62" s="51"/>
      <c r="E62" s="51"/>
      <c r="F62" s="51"/>
      <c r="G62" s="51"/>
      <c r="H62" s="51"/>
      <c r="I62" s="51"/>
      <c r="J62" s="52" t="str">
        <f aca="false">IF(B62="","",IFERROR(ROUND(VLOOKUP(INT(B62),'Tank Tables'!$A$5:$B$121,2,FALSE())+(B62-INT(B62))*(VLOOKUP(INT(B62)+1,'Tank Tables'!$A$5:$B$121,2,FALSE())-VLOOKUP(INT(B62),'Tank Tables'!$A$5:$B$121,2,FALSE())),0),IFERROR(ROUND(VLOOKUP(INT(B62),'Tank Tables'!$A$5:$B$121,2,FALSE()),0),"?")))</f>
        <v/>
      </c>
      <c r="K62" s="52" t="str">
        <f aca="false">IF(C62="","",IFERROR(ROUND(VLOOKUP(INT(C62),'Tank Tables'!$C$5:$D$130,2,FALSE())+(C62-INT(C62))*(VLOOKUP(INT(C62)+1,'Tank Tables'!$C$5:$D$130,2,FALSE())-VLOOKUP(INT(C62),'Tank Tables'!$C$5:$D$130,2,FALSE())),0),IFERROR(ROUND(VLOOKUP(INT(C62),'Tank Tables'!$C$5:$D$130,2,FALSE()),0),"?")))</f>
        <v/>
      </c>
      <c r="L62" s="52" t="str">
        <f aca="false">IF(D62="","",IFERROR(ROUND(VLOOKUP(INT(D62),'Tank Tables'!$E$5:$F$130,2,FALSE())+(D62-INT(D62))*(VLOOKUP(INT(D62)+1,'Tank Tables'!$E$5:$F$130,2,FALSE())-VLOOKUP(INT(D62),'Tank Tables'!$E$5:$F$130,2,FALSE())),0),IFERROR(ROUND(VLOOKUP(INT(D62),'Tank Tables'!$E$5:$F$130,2,FALSE()),0),"?")))</f>
        <v/>
      </c>
      <c r="M62" s="52" t="str">
        <f aca="false">IF(E62="","",IFERROR(ROUND(VLOOKUP(INT(E62),'Tank Tables'!$G$5:$H$130,2,FALSE())+(E62-INT(E62))*(VLOOKUP(INT(E62)+1,'Tank Tables'!$G$5:$H$130,2,FALSE())-VLOOKUP(INT(E62),'Tank Tables'!$G$5:$H$130,2,FALSE())),0),IFERROR(ROUND(VLOOKUP(INT(E62),'Tank Tables'!$G$5:$H$130,2,FALSE()),0),"?")))</f>
        <v/>
      </c>
      <c r="N62" s="52" t="str">
        <f aca="false">IF(F62="","",IFERROR(ROUND(VLOOKUP(INT(F62),'Tank Tables'!$A$5:$B$121,2,FALSE())+(F62-INT(F62))*(VLOOKUP(INT(F62)+1,'Tank Tables'!$A$5:$B$121,2,FALSE())-VLOOKUP(INT(F62),'Tank Tables'!$A$5:$B$121,2,FALSE())),0),IFERROR(ROUND(VLOOKUP(INT(F62),'Tank Tables'!$A$5:$B$121,2,FALSE()),0),"?")))</f>
        <v/>
      </c>
      <c r="O62" s="52" t="str">
        <f aca="false">IF(G62="","",IFERROR(ROUND(VLOOKUP(INT(G62),'Tank Tables'!$C$5:$D$130,2,FALSE())+(G62-INT(G62))*(VLOOKUP(INT(G62)+1,'Tank Tables'!$C$5:$D$130,2,FALSE())-VLOOKUP(INT(G62),'Tank Tables'!$C$5:$D$130,2,FALSE())),0),IFERROR(ROUND(VLOOKUP(INT(G62),'Tank Tables'!$C$5:$D$130,2,FALSE()),0),"?")))</f>
        <v/>
      </c>
      <c r="P62" s="52" t="str">
        <f aca="false">IF(H62="","",IFERROR(ROUND(VLOOKUP(INT(H62),'Tank Tables'!$E$5:$F$130,2,FALSE())+(H62-INT(H62))*(VLOOKUP(INT(H62)+1,'Tank Tables'!$E$5:$F$130,2,FALSE())-VLOOKUP(INT(H62),'Tank Tables'!$E$5:$F$130,2,FALSE())),0),IFERROR(ROUND(VLOOKUP(INT(H62),'Tank Tables'!$E$5:$F$130,2,FALSE()),0),"?")))</f>
        <v/>
      </c>
      <c r="Q62" s="52" t="str">
        <f aca="false">IF(I62="","",IFERROR(ROUND(VLOOKUP(INT(I62),'Tank Tables'!$G$5:$H$130,2,FALSE())+(I62-INT(I62))*(VLOOKUP(INT(I62)+1,'Tank Tables'!$G$5:$H$130,2,FALSE())-VLOOKUP(INT(I62),'Tank Tables'!$G$5:$H$130,2,FALSE())),0),IFERROR(ROUND(VLOOKUP(INT(I62),'Tank Tables'!$G$5:$H$130,2,FALSE()),0),"?")))</f>
        <v/>
      </c>
      <c r="R62" s="47" t="str">
        <f aca="false">IF(COUNT(J62:M62)=0,"",SUM(J62:M62))</f>
        <v/>
      </c>
      <c r="S62" s="47" t="str">
        <f aca="false">IF(COUNT(N62:Q62)=0,"",SUM(N62:Q62))</f>
        <v/>
      </c>
      <c r="T62" s="53" t="str">
        <f aca="false">IF(COUNT(R62:S62)=0,"",SUM(R62:S62))</f>
        <v/>
      </c>
      <c r="U62" s="54"/>
      <c r="V62" s="47" t="str">
        <f aca="false">IF(T62="","",IF(T61="","",T61+U62-T62))</f>
        <v/>
      </c>
      <c r="W62" s="52" t="str">
        <f aca="false">IF(T62="","",Settings!$C$7-T62)</f>
        <v/>
      </c>
      <c r="X62" s="52" t="str">
        <f aca="false">IF(T62="","",MAX(0,INT(W62/Settings!$C$8)))</f>
        <v/>
      </c>
      <c r="Y62" s="55" t="str">
        <f aca="false">IF(T62="","",IF(X62&gt;=2,"ROOM FOR "&amp;X62&amp;" TRUCKS",IF(X62=1,"ROOM FOR 1 TRUCK","")))</f>
        <v/>
      </c>
      <c r="Z62" s="54"/>
      <c r="AA62" s="54"/>
      <c r="AB62" s="54"/>
      <c r="AC62" s="47" t="str">
        <f aca="false">IF(COUNT(Z62:AA62)=0,"",SUM(Z62:AA62))</f>
        <v/>
      </c>
      <c r="AD62" s="47" t="str">
        <f aca="false">IF(AC62="","",IF(AC61="","",AC61+AB62-AC62))</f>
        <v/>
      </c>
      <c r="AE62" s="54"/>
      <c r="AF62" s="54"/>
      <c r="AG62" s="47" t="str">
        <f aca="false">IF(AE62="","",IF(AE61="","",AE61+AF62-AE62))</f>
        <v/>
      </c>
      <c r="AH62" s="59"/>
    </row>
    <row r="63" customFormat="false" ht="19.5" hidden="false" customHeight="true" outlineLevel="0" collapsed="false">
      <c r="A63" s="44"/>
      <c r="B63" s="51"/>
      <c r="C63" s="51"/>
      <c r="D63" s="51"/>
      <c r="E63" s="51"/>
      <c r="F63" s="51"/>
      <c r="G63" s="51"/>
      <c r="H63" s="51"/>
      <c r="I63" s="51"/>
      <c r="J63" s="46" t="str">
        <f aca="false">IF(B63="","",IFERROR(ROUND(VLOOKUP(INT(B63),'Tank Tables'!$A$5:$B$121,2,FALSE())+(B63-INT(B63))*(VLOOKUP(INT(B63)+1,'Tank Tables'!$A$5:$B$121,2,FALSE())-VLOOKUP(INT(B63),'Tank Tables'!$A$5:$B$121,2,FALSE())),0),IFERROR(ROUND(VLOOKUP(INT(B63),'Tank Tables'!$A$5:$B$121,2,FALSE()),0),"?")))</f>
        <v/>
      </c>
      <c r="K63" s="46" t="str">
        <f aca="false">IF(C63="","",IFERROR(ROUND(VLOOKUP(INT(C63),'Tank Tables'!$C$5:$D$130,2,FALSE())+(C63-INT(C63))*(VLOOKUP(INT(C63)+1,'Tank Tables'!$C$5:$D$130,2,FALSE())-VLOOKUP(INT(C63),'Tank Tables'!$C$5:$D$130,2,FALSE())),0),IFERROR(ROUND(VLOOKUP(INT(C63),'Tank Tables'!$C$5:$D$130,2,FALSE()),0),"?")))</f>
        <v/>
      </c>
      <c r="L63" s="46" t="str">
        <f aca="false">IF(D63="","",IFERROR(ROUND(VLOOKUP(INT(D63),'Tank Tables'!$E$5:$F$130,2,FALSE())+(D63-INT(D63))*(VLOOKUP(INT(D63)+1,'Tank Tables'!$E$5:$F$130,2,FALSE())-VLOOKUP(INT(D63),'Tank Tables'!$E$5:$F$130,2,FALSE())),0),IFERROR(ROUND(VLOOKUP(INT(D63),'Tank Tables'!$E$5:$F$130,2,FALSE()),0),"?")))</f>
        <v/>
      </c>
      <c r="M63" s="46" t="str">
        <f aca="false">IF(E63="","",IFERROR(ROUND(VLOOKUP(INT(E63),'Tank Tables'!$G$5:$H$130,2,FALSE())+(E63-INT(E63))*(VLOOKUP(INT(E63)+1,'Tank Tables'!$G$5:$H$130,2,FALSE())-VLOOKUP(INT(E63),'Tank Tables'!$G$5:$H$130,2,FALSE())),0),IFERROR(ROUND(VLOOKUP(INT(E63),'Tank Tables'!$G$5:$H$130,2,FALSE()),0),"?")))</f>
        <v/>
      </c>
      <c r="N63" s="46" t="str">
        <f aca="false">IF(F63="","",IFERROR(ROUND(VLOOKUP(INT(F63),'Tank Tables'!$A$5:$B$121,2,FALSE())+(F63-INT(F63))*(VLOOKUP(INT(F63)+1,'Tank Tables'!$A$5:$B$121,2,FALSE())-VLOOKUP(INT(F63),'Tank Tables'!$A$5:$B$121,2,FALSE())),0),IFERROR(ROUND(VLOOKUP(INT(F63),'Tank Tables'!$A$5:$B$121,2,FALSE()),0),"?")))</f>
        <v/>
      </c>
      <c r="O63" s="46" t="str">
        <f aca="false">IF(G63="","",IFERROR(ROUND(VLOOKUP(INT(G63),'Tank Tables'!$C$5:$D$130,2,FALSE())+(G63-INT(G63))*(VLOOKUP(INT(G63)+1,'Tank Tables'!$C$5:$D$130,2,FALSE())-VLOOKUP(INT(G63),'Tank Tables'!$C$5:$D$130,2,FALSE())),0),IFERROR(ROUND(VLOOKUP(INT(G63),'Tank Tables'!$C$5:$D$130,2,FALSE()),0),"?")))</f>
        <v/>
      </c>
      <c r="P63" s="46" t="str">
        <f aca="false">IF(H63="","",IFERROR(ROUND(VLOOKUP(INT(H63),'Tank Tables'!$E$5:$F$130,2,FALSE())+(H63-INT(H63))*(VLOOKUP(INT(H63)+1,'Tank Tables'!$E$5:$F$130,2,FALSE())-VLOOKUP(INT(H63),'Tank Tables'!$E$5:$F$130,2,FALSE())),0),IFERROR(ROUND(VLOOKUP(INT(H63),'Tank Tables'!$E$5:$F$130,2,FALSE()),0),"?")))</f>
        <v/>
      </c>
      <c r="Q63" s="46" t="str">
        <f aca="false">IF(I63="","",IFERROR(ROUND(VLOOKUP(INT(I63),'Tank Tables'!$G$5:$H$130,2,FALSE())+(I63-INT(I63))*(VLOOKUP(INT(I63)+1,'Tank Tables'!$G$5:$H$130,2,FALSE())-VLOOKUP(INT(I63),'Tank Tables'!$G$5:$H$130,2,FALSE())),0),IFERROR(ROUND(VLOOKUP(INT(I63),'Tank Tables'!$G$5:$H$130,2,FALSE()),0),"?")))</f>
        <v/>
      </c>
      <c r="R63" s="47" t="str">
        <f aca="false">IF(COUNT(J63:M63)=0,"",SUM(J63:M63))</f>
        <v/>
      </c>
      <c r="S63" s="47" t="str">
        <f aca="false">IF(COUNT(N63:Q63)=0,"",SUM(N63:Q63))</f>
        <v/>
      </c>
      <c r="T63" s="53" t="str">
        <f aca="false">IF(COUNT(R63:S63)=0,"",SUM(R63:S63))</f>
        <v/>
      </c>
      <c r="U63" s="54"/>
      <c r="V63" s="47" t="str">
        <f aca="false">IF(T63="","",IF(T62="","",T62+U63-T63))</f>
        <v/>
      </c>
      <c r="W63" s="46" t="str">
        <f aca="false">IF(T63="","",Settings!$C$7-T63)</f>
        <v/>
      </c>
      <c r="X63" s="46" t="str">
        <f aca="false">IF(T63="","",MAX(0,INT(W63/Settings!$C$8)))</f>
        <v/>
      </c>
      <c r="Y63" s="57" t="str">
        <f aca="false">IF(T63="","",IF(X63&gt;=2,"ROOM FOR "&amp;X63&amp;" TRUCKS",IF(X63=1,"ROOM FOR 1 TRUCK","")))</f>
        <v/>
      </c>
      <c r="Z63" s="54"/>
      <c r="AA63" s="54"/>
      <c r="AB63" s="54"/>
      <c r="AC63" s="47" t="str">
        <f aca="false">IF(COUNT(Z63:AA63)=0,"",SUM(Z63:AA63))</f>
        <v/>
      </c>
      <c r="AD63" s="47" t="str">
        <f aca="false">IF(AC63="","",IF(AC62="","",AC62+AB63-AC63))</f>
        <v/>
      </c>
      <c r="AE63" s="54"/>
      <c r="AF63" s="54"/>
      <c r="AG63" s="47" t="str">
        <f aca="false">IF(AE63="","",IF(AE62="","",AE62+AF63-AE63))</f>
        <v/>
      </c>
      <c r="AH63" s="58"/>
    </row>
    <row r="64" customFormat="false" ht="19.5" hidden="false" customHeight="true" outlineLevel="0" collapsed="false">
      <c r="A64" s="44"/>
      <c r="B64" s="51"/>
      <c r="C64" s="51"/>
      <c r="D64" s="51"/>
      <c r="E64" s="51"/>
      <c r="F64" s="51"/>
      <c r="G64" s="51"/>
      <c r="H64" s="51"/>
      <c r="I64" s="51"/>
      <c r="J64" s="52" t="str">
        <f aca="false">IF(B64="","",IFERROR(ROUND(VLOOKUP(INT(B64),'Tank Tables'!$A$5:$B$121,2,FALSE())+(B64-INT(B64))*(VLOOKUP(INT(B64)+1,'Tank Tables'!$A$5:$B$121,2,FALSE())-VLOOKUP(INT(B64),'Tank Tables'!$A$5:$B$121,2,FALSE())),0),IFERROR(ROUND(VLOOKUP(INT(B64),'Tank Tables'!$A$5:$B$121,2,FALSE()),0),"?")))</f>
        <v/>
      </c>
      <c r="K64" s="52" t="str">
        <f aca="false">IF(C64="","",IFERROR(ROUND(VLOOKUP(INT(C64),'Tank Tables'!$C$5:$D$130,2,FALSE())+(C64-INT(C64))*(VLOOKUP(INT(C64)+1,'Tank Tables'!$C$5:$D$130,2,FALSE())-VLOOKUP(INT(C64),'Tank Tables'!$C$5:$D$130,2,FALSE())),0),IFERROR(ROUND(VLOOKUP(INT(C64),'Tank Tables'!$C$5:$D$130,2,FALSE()),0),"?")))</f>
        <v/>
      </c>
      <c r="L64" s="52" t="str">
        <f aca="false">IF(D64="","",IFERROR(ROUND(VLOOKUP(INT(D64),'Tank Tables'!$E$5:$F$130,2,FALSE())+(D64-INT(D64))*(VLOOKUP(INT(D64)+1,'Tank Tables'!$E$5:$F$130,2,FALSE())-VLOOKUP(INT(D64),'Tank Tables'!$E$5:$F$130,2,FALSE())),0),IFERROR(ROUND(VLOOKUP(INT(D64),'Tank Tables'!$E$5:$F$130,2,FALSE()),0),"?")))</f>
        <v/>
      </c>
      <c r="M64" s="52" t="str">
        <f aca="false">IF(E64="","",IFERROR(ROUND(VLOOKUP(INT(E64),'Tank Tables'!$G$5:$H$130,2,FALSE())+(E64-INT(E64))*(VLOOKUP(INT(E64)+1,'Tank Tables'!$G$5:$H$130,2,FALSE())-VLOOKUP(INT(E64),'Tank Tables'!$G$5:$H$130,2,FALSE())),0),IFERROR(ROUND(VLOOKUP(INT(E64),'Tank Tables'!$G$5:$H$130,2,FALSE()),0),"?")))</f>
        <v/>
      </c>
      <c r="N64" s="52" t="str">
        <f aca="false">IF(F64="","",IFERROR(ROUND(VLOOKUP(INT(F64),'Tank Tables'!$A$5:$B$121,2,FALSE())+(F64-INT(F64))*(VLOOKUP(INT(F64)+1,'Tank Tables'!$A$5:$B$121,2,FALSE())-VLOOKUP(INT(F64),'Tank Tables'!$A$5:$B$121,2,FALSE())),0),IFERROR(ROUND(VLOOKUP(INT(F64),'Tank Tables'!$A$5:$B$121,2,FALSE()),0),"?")))</f>
        <v/>
      </c>
      <c r="O64" s="52" t="str">
        <f aca="false">IF(G64="","",IFERROR(ROUND(VLOOKUP(INT(G64),'Tank Tables'!$C$5:$D$130,2,FALSE())+(G64-INT(G64))*(VLOOKUP(INT(G64)+1,'Tank Tables'!$C$5:$D$130,2,FALSE())-VLOOKUP(INT(G64),'Tank Tables'!$C$5:$D$130,2,FALSE())),0),IFERROR(ROUND(VLOOKUP(INT(G64),'Tank Tables'!$C$5:$D$130,2,FALSE()),0),"?")))</f>
        <v/>
      </c>
      <c r="P64" s="52" t="str">
        <f aca="false">IF(H64="","",IFERROR(ROUND(VLOOKUP(INT(H64),'Tank Tables'!$E$5:$F$130,2,FALSE())+(H64-INT(H64))*(VLOOKUP(INT(H64)+1,'Tank Tables'!$E$5:$F$130,2,FALSE())-VLOOKUP(INT(H64),'Tank Tables'!$E$5:$F$130,2,FALSE())),0),IFERROR(ROUND(VLOOKUP(INT(H64),'Tank Tables'!$E$5:$F$130,2,FALSE()),0),"?")))</f>
        <v/>
      </c>
      <c r="Q64" s="52" t="str">
        <f aca="false">IF(I64="","",IFERROR(ROUND(VLOOKUP(INT(I64),'Tank Tables'!$G$5:$H$130,2,FALSE())+(I64-INT(I64))*(VLOOKUP(INT(I64)+1,'Tank Tables'!$G$5:$H$130,2,FALSE())-VLOOKUP(INT(I64),'Tank Tables'!$G$5:$H$130,2,FALSE())),0),IFERROR(ROUND(VLOOKUP(INT(I64),'Tank Tables'!$G$5:$H$130,2,FALSE()),0),"?")))</f>
        <v/>
      </c>
      <c r="R64" s="47" t="str">
        <f aca="false">IF(COUNT(J64:M64)=0,"",SUM(J64:M64))</f>
        <v/>
      </c>
      <c r="S64" s="47" t="str">
        <f aca="false">IF(COUNT(N64:Q64)=0,"",SUM(N64:Q64))</f>
        <v/>
      </c>
      <c r="T64" s="53" t="str">
        <f aca="false">IF(COUNT(R64:S64)=0,"",SUM(R64:S64))</f>
        <v/>
      </c>
      <c r="U64" s="54"/>
      <c r="V64" s="47" t="str">
        <f aca="false">IF(T64="","",IF(T63="","",T63+U64-T64))</f>
        <v/>
      </c>
      <c r="W64" s="52" t="str">
        <f aca="false">IF(T64="","",Settings!$C$7-T64)</f>
        <v/>
      </c>
      <c r="X64" s="52" t="str">
        <f aca="false">IF(T64="","",MAX(0,INT(W64/Settings!$C$8)))</f>
        <v/>
      </c>
      <c r="Y64" s="55" t="str">
        <f aca="false">IF(T64="","",IF(X64&gt;=2,"ROOM FOR "&amp;X64&amp;" TRUCKS",IF(X64=1,"ROOM FOR 1 TRUCK","")))</f>
        <v/>
      </c>
      <c r="Z64" s="54"/>
      <c r="AA64" s="54"/>
      <c r="AB64" s="54"/>
      <c r="AC64" s="47" t="str">
        <f aca="false">IF(COUNT(Z64:AA64)=0,"",SUM(Z64:AA64))</f>
        <v/>
      </c>
      <c r="AD64" s="47" t="str">
        <f aca="false">IF(AC64="","",IF(AC63="","",AC63+AB64-AC64))</f>
        <v/>
      </c>
      <c r="AE64" s="54"/>
      <c r="AF64" s="54"/>
      <c r="AG64" s="47" t="str">
        <f aca="false">IF(AE64="","",IF(AE63="","",AE63+AF64-AE64))</f>
        <v/>
      </c>
      <c r="AH64" s="59"/>
    </row>
    <row r="65" customFormat="false" ht="19.5" hidden="false" customHeight="true" outlineLevel="0" collapsed="false">
      <c r="A65" s="44"/>
      <c r="B65" s="51"/>
      <c r="C65" s="51"/>
      <c r="D65" s="51"/>
      <c r="E65" s="51"/>
      <c r="F65" s="51"/>
      <c r="G65" s="51"/>
      <c r="H65" s="51"/>
      <c r="I65" s="51"/>
      <c r="J65" s="46" t="str">
        <f aca="false">IF(B65="","",IFERROR(ROUND(VLOOKUP(INT(B65),'Tank Tables'!$A$5:$B$121,2,FALSE())+(B65-INT(B65))*(VLOOKUP(INT(B65)+1,'Tank Tables'!$A$5:$B$121,2,FALSE())-VLOOKUP(INT(B65),'Tank Tables'!$A$5:$B$121,2,FALSE())),0),IFERROR(ROUND(VLOOKUP(INT(B65),'Tank Tables'!$A$5:$B$121,2,FALSE()),0),"?")))</f>
        <v/>
      </c>
      <c r="K65" s="46" t="str">
        <f aca="false">IF(C65="","",IFERROR(ROUND(VLOOKUP(INT(C65),'Tank Tables'!$C$5:$D$130,2,FALSE())+(C65-INT(C65))*(VLOOKUP(INT(C65)+1,'Tank Tables'!$C$5:$D$130,2,FALSE())-VLOOKUP(INT(C65),'Tank Tables'!$C$5:$D$130,2,FALSE())),0),IFERROR(ROUND(VLOOKUP(INT(C65),'Tank Tables'!$C$5:$D$130,2,FALSE()),0),"?")))</f>
        <v/>
      </c>
      <c r="L65" s="46" t="str">
        <f aca="false">IF(D65="","",IFERROR(ROUND(VLOOKUP(INT(D65),'Tank Tables'!$E$5:$F$130,2,FALSE())+(D65-INT(D65))*(VLOOKUP(INT(D65)+1,'Tank Tables'!$E$5:$F$130,2,FALSE())-VLOOKUP(INT(D65),'Tank Tables'!$E$5:$F$130,2,FALSE())),0),IFERROR(ROUND(VLOOKUP(INT(D65),'Tank Tables'!$E$5:$F$130,2,FALSE()),0),"?")))</f>
        <v/>
      </c>
      <c r="M65" s="46" t="str">
        <f aca="false">IF(E65="","",IFERROR(ROUND(VLOOKUP(INT(E65),'Tank Tables'!$G$5:$H$130,2,FALSE())+(E65-INT(E65))*(VLOOKUP(INT(E65)+1,'Tank Tables'!$G$5:$H$130,2,FALSE())-VLOOKUP(INT(E65),'Tank Tables'!$G$5:$H$130,2,FALSE())),0),IFERROR(ROUND(VLOOKUP(INT(E65),'Tank Tables'!$G$5:$H$130,2,FALSE()),0),"?")))</f>
        <v/>
      </c>
      <c r="N65" s="46" t="str">
        <f aca="false">IF(F65="","",IFERROR(ROUND(VLOOKUP(INT(F65),'Tank Tables'!$A$5:$B$121,2,FALSE())+(F65-INT(F65))*(VLOOKUP(INT(F65)+1,'Tank Tables'!$A$5:$B$121,2,FALSE())-VLOOKUP(INT(F65),'Tank Tables'!$A$5:$B$121,2,FALSE())),0),IFERROR(ROUND(VLOOKUP(INT(F65),'Tank Tables'!$A$5:$B$121,2,FALSE()),0),"?")))</f>
        <v/>
      </c>
      <c r="O65" s="46" t="str">
        <f aca="false">IF(G65="","",IFERROR(ROUND(VLOOKUP(INT(G65),'Tank Tables'!$C$5:$D$130,2,FALSE())+(G65-INT(G65))*(VLOOKUP(INT(G65)+1,'Tank Tables'!$C$5:$D$130,2,FALSE())-VLOOKUP(INT(G65),'Tank Tables'!$C$5:$D$130,2,FALSE())),0),IFERROR(ROUND(VLOOKUP(INT(G65),'Tank Tables'!$C$5:$D$130,2,FALSE()),0),"?")))</f>
        <v/>
      </c>
      <c r="P65" s="46" t="str">
        <f aca="false">IF(H65="","",IFERROR(ROUND(VLOOKUP(INT(H65),'Tank Tables'!$E$5:$F$130,2,FALSE())+(H65-INT(H65))*(VLOOKUP(INT(H65)+1,'Tank Tables'!$E$5:$F$130,2,FALSE())-VLOOKUP(INT(H65),'Tank Tables'!$E$5:$F$130,2,FALSE())),0),IFERROR(ROUND(VLOOKUP(INT(H65),'Tank Tables'!$E$5:$F$130,2,FALSE()),0),"?")))</f>
        <v/>
      </c>
      <c r="Q65" s="46" t="str">
        <f aca="false">IF(I65="","",IFERROR(ROUND(VLOOKUP(INT(I65),'Tank Tables'!$G$5:$H$130,2,FALSE())+(I65-INT(I65))*(VLOOKUP(INT(I65)+1,'Tank Tables'!$G$5:$H$130,2,FALSE())-VLOOKUP(INT(I65),'Tank Tables'!$G$5:$H$130,2,FALSE())),0),IFERROR(ROUND(VLOOKUP(INT(I65),'Tank Tables'!$G$5:$H$130,2,FALSE()),0),"?")))</f>
        <v/>
      </c>
      <c r="R65" s="47" t="str">
        <f aca="false">IF(COUNT(J65:M65)=0,"",SUM(J65:M65))</f>
        <v/>
      </c>
      <c r="S65" s="47" t="str">
        <f aca="false">IF(COUNT(N65:Q65)=0,"",SUM(N65:Q65))</f>
        <v/>
      </c>
      <c r="T65" s="53" t="str">
        <f aca="false">IF(COUNT(R65:S65)=0,"",SUM(R65:S65))</f>
        <v/>
      </c>
      <c r="U65" s="54"/>
      <c r="V65" s="47" t="str">
        <f aca="false">IF(T65="","",IF(T64="","",T64+U65-T65))</f>
        <v/>
      </c>
      <c r="W65" s="46" t="str">
        <f aca="false">IF(T65="","",Settings!$C$7-T65)</f>
        <v/>
      </c>
      <c r="X65" s="46" t="str">
        <f aca="false">IF(T65="","",MAX(0,INT(W65/Settings!$C$8)))</f>
        <v/>
      </c>
      <c r="Y65" s="57" t="str">
        <f aca="false">IF(T65="","",IF(X65&gt;=2,"ROOM FOR "&amp;X65&amp;" TRUCKS",IF(X65=1,"ROOM FOR 1 TRUCK","")))</f>
        <v/>
      </c>
      <c r="Z65" s="54"/>
      <c r="AA65" s="54"/>
      <c r="AB65" s="54"/>
      <c r="AC65" s="47" t="str">
        <f aca="false">IF(COUNT(Z65:AA65)=0,"",SUM(Z65:AA65))</f>
        <v/>
      </c>
      <c r="AD65" s="47" t="str">
        <f aca="false">IF(AC65="","",IF(AC64="","",AC64+AB65-AC65))</f>
        <v/>
      </c>
      <c r="AE65" s="54"/>
      <c r="AF65" s="54"/>
      <c r="AG65" s="47" t="str">
        <f aca="false">IF(AE65="","",IF(AE64="","",AE64+AF65-AE65))</f>
        <v/>
      </c>
      <c r="AH65" s="58"/>
    </row>
    <row r="66" customFormat="false" ht="19.5" hidden="false" customHeight="true" outlineLevel="0" collapsed="false">
      <c r="A66" s="44"/>
      <c r="B66" s="51"/>
      <c r="C66" s="51"/>
      <c r="D66" s="51"/>
      <c r="E66" s="51"/>
      <c r="F66" s="51"/>
      <c r="G66" s="51"/>
      <c r="H66" s="51"/>
      <c r="I66" s="51"/>
      <c r="J66" s="52" t="str">
        <f aca="false">IF(B66="","",IFERROR(ROUND(VLOOKUP(INT(B66),'Tank Tables'!$A$5:$B$121,2,FALSE())+(B66-INT(B66))*(VLOOKUP(INT(B66)+1,'Tank Tables'!$A$5:$B$121,2,FALSE())-VLOOKUP(INT(B66),'Tank Tables'!$A$5:$B$121,2,FALSE())),0),IFERROR(ROUND(VLOOKUP(INT(B66),'Tank Tables'!$A$5:$B$121,2,FALSE()),0),"?")))</f>
        <v/>
      </c>
      <c r="K66" s="52" t="str">
        <f aca="false">IF(C66="","",IFERROR(ROUND(VLOOKUP(INT(C66),'Tank Tables'!$C$5:$D$130,2,FALSE())+(C66-INT(C66))*(VLOOKUP(INT(C66)+1,'Tank Tables'!$C$5:$D$130,2,FALSE())-VLOOKUP(INT(C66),'Tank Tables'!$C$5:$D$130,2,FALSE())),0),IFERROR(ROUND(VLOOKUP(INT(C66),'Tank Tables'!$C$5:$D$130,2,FALSE()),0),"?")))</f>
        <v/>
      </c>
      <c r="L66" s="52" t="str">
        <f aca="false">IF(D66="","",IFERROR(ROUND(VLOOKUP(INT(D66),'Tank Tables'!$E$5:$F$130,2,FALSE())+(D66-INT(D66))*(VLOOKUP(INT(D66)+1,'Tank Tables'!$E$5:$F$130,2,FALSE())-VLOOKUP(INT(D66),'Tank Tables'!$E$5:$F$130,2,FALSE())),0),IFERROR(ROUND(VLOOKUP(INT(D66),'Tank Tables'!$E$5:$F$130,2,FALSE()),0),"?")))</f>
        <v/>
      </c>
      <c r="M66" s="52" t="str">
        <f aca="false">IF(E66="","",IFERROR(ROUND(VLOOKUP(INT(E66),'Tank Tables'!$G$5:$H$130,2,FALSE())+(E66-INT(E66))*(VLOOKUP(INT(E66)+1,'Tank Tables'!$G$5:$H$130,2,FALSE())-VLOOKUP(INT(E66),'Tank Tables'!$G$5:$H$130,2,FALSE())),0),IFERROR(ROUND(VLOOKUP(INT(E66),'Tank Tables'!$G$5:$H$130,2,FALSE()),0),"?")))</f>
        <v/>
      </c>
      <c r="N66" s="52" t="str">
        <f aca="false">IF(F66="","",IFERROR(ROUND(VLOOKUP(INT(F66),'Tank Tables'!$A$5:$B$121,2,FALSE())+(F66-INT(F66))*(VLOOKUP(INT(F66)+1,'Tank Tables'!$A$5:$B$121,2,FALSE())-VLOOKUP(INT(F66),'Tank Tables'!$A$5:$B$121,2,FALSE())),0),IFERROR(ROUND(VLOOKUP(INT(F66),'Tank Tables'!$A$5:$B$121,2,FALSE()),0),"?")))</f>
        <v/>
      </c>
      <c r="O66" s="52" t="str">
        <f aca="false">IF(G66="","",IFERROR(ROUND(VLOOKUP(INT(G66),'Tank Tables'!$C$5:$D$130,2,FALSE())+(G66-INT(G66))*(VLOOKUP(INT(G66)+1,'Tank Tables'!$C$5:$D$130,2,FALSE())-VLOOKUP(INT(G66),'Tank Tables'!$C$5:$D$130,2,FALSE())),0),IFERROR(ROUND(VLOOKUP(INT(G66),'Tank Tables'!$C$5:$D$130,2,FALSE()),0),"?")))</f>
        <v/>
      </c>
      <c r="P66" s="52" t="str">
        <f aca="false">IF(H66="","",IFERROR(ROUND(VLOOKUP(INT(H66),'Tank Tables'!$E$5:$F$130,2,FALSE())+(H66-INT(H66))*(VLOOKUP(INT(H66)+1,'Tank Tables'!$E$5:$F$130,2,FALSE())-VLOOKUP(INT(H66),'Tank Tables'!$E$5:$F$130,2,FALSE())),0),IFERROR(ROUND(VLOOKUP(INT(H66),'Tank Tables'!$E$5:$F$130,2,FALSE()),0),"?")))</f>
        <v/>
      </c>
      <c r="Q66" s="52" t="str">
        <f aca="false">IF(I66="","",IFERROR(ROUND(VLOOKUP(INT(I66),'Tank Tables'!$G$5:$H$130,2,FALSE())+(I66-INT(I66))*(VLOOKUP(INT(I66)+1,'Tank Tables'!$G$5:$H$130,2,FALSE())-VLOOKUP(INT(I66),'Tank Tables'!$G$5:$H$130,2,FALSE())),0),IFERROR(ROUND(VLOOKUP(INT(I66),'Tank Tables'!$G$5:$H$130,2,FALSE()),0),"?")))</f>
        <v/>
      </c>
      <c r="R66" s="47" t="str">
        <f aca="false">IF(COUNT(J66:M66)=0,"",SUM(J66:M66))</f>
        <v/>
      </c>
      <c r="S66" s="47" t="str">
        <f aca="false">IF(COUNT(N66:Q66)=0,"",SUM(N66:Q66))</f>
        <v/>
      </c>
      <c r="T66" s="53" t="str">
        <f aca="false">IF(COUNT(R66:S66)=0,"",SUM(R66:S66))</f>
        <v/>
      </c>
      <c r="U66" s="54"/>
      <c r="V66" s="47" t="str">
        <f aca="false">IF(T66="","",IF(T65="","",T65+U66-T66))</f>
        <v/>
      </c>
      <c r="W66" s="52" t="str">
        <f aca="false">IF(T66="","",Settings!$C$7-T66)</f>
        <v/>
      </c>
      <c r="X66" s="52" t="str">
        <f aca="false">IF(T66="","",MAX(0,INT(W66/Settings!$C$8)))</f>
        <v/>
      </c>
      <c r="Y66" s="55" t="str">
        <f aca="false">IF(T66="","",IF(X66&gt;=2,"ROOM FOR "&amp;X66&amp;" TRUCKS",IF(X66=1,"ROOM FOR 1 TRUCK","")))</f>
        <v/>
      </c>
      <c r="Z66" s="54"/>
      <c r="AA66" s="54"/>
      <c r="AB66" s="54"/>
      <c r="AC66" s="47" t="str">
        <f aca="false">IF(COUNT(Z66:AA66)=0,"",SUM(Z66:AA66))</f>
        <v/>
      </c>
      <c r="AD66" s="47" t="str">
        <f aca="false">IF(AC66="","",IF(AC65="","",AC65+AB66-AC66))</f>
        <v/>
      </c>
      <c r="AE66" s="54"/>
      <c r="AF66" s="54"/>
      <c r="AG66" s="47" t="str">
        <f aca="false">IF(AE66="","",IF(AE65="","",AE65+AF66-AE66))</f>
        <v/>
      </c>
      <c r="AH66" s="59"/>
    </row>
    <row r="67" customFormat="false" ht="19.5" hidden="false" customHeight="true" outlineLevel="0" collapsed="false">
      <c r="A67" s="44"/>
      <c r="B67" s="51"/>
      <c r="C67" s="51"/>
      <c r="D67" s="51"/>
      <c r="E67" s="51"/>
      <c r="F67" s="51"/>
      <c r="G67" s="51"/>
      <c r="H67" s="51"/>
      <c r="I67" s="51"/>
      <c r="J67" s="46" t="str">
        <f aca="false">IF(B67="","",IFERROR(ROUND(VLOOKUP(INT(B67),'Tank Tables'!$A$5:$B$121,2,FALSE())+(B67-INT(B67))*(VLOOKUP(INT(B67)+1,'Tank Tables'!$A$5:$B$121,2,FALSE())-VLOOKUP(INT(B67),'Tank Tables'!$A$5:$B$121,2,FALSE())),0),IFERROR(ROUND(VLOOKUP(INT(B67),'Tank Tables'!$A$5:$B$121,2,FALSE()),0),"?")))</f>
        <v/>
      </c>
      <c r="K67" s="46" t="str">
        <f aca="false">IF(C67="","",IFERROR(ROUND(VLOOKUP(INT(C67),'Tank Tables'!$C$5:$D$130,2,FALSE())+(C67-INT(C67))*(VLOOKUP(INT(C67)+1,'Tank Tables'!$C$5:$D$130,2,FALSE())-VLOOKUP(INT(C67),'Tank Tables'!$C$5:$D$130,2,FALSE())),0),IFERROR(ROUND(VLOOKUP(INT(C67),'Tank Tables'!$C$5:$D$130,2,FALSE()),0),"?")))</f>
        <v/>
      </c>
      <c r="L67" s="46" t="str">
        <f aca="false">IF(D67="","",IFERROR(ROUND(VLOOKUP(INT(D67),'Tank Tables'!$E$5:$F$130,2,FALSE())+(D67-INT(D67))*(VLOOKUP(INT(D67)+1,'Tank Tables'!$E$5:$F$130,2,FALSE())-VLOOKUP(INT(D67),'Tank Tables'!$E$5:$F$130,2,FALSE())),0),IFERROR(ROUND(VLOOKUP(INT(D67),'Tank Tables'!$E$5:$F$130,2,FALSE()),0),"?")))</f>
        <v/>
      </c>
      <c r="M67" s="46" t="str">
        <f aca="false">IF(E67="","",IFERROR(ROUND(VLOOKUP(INT(E67),'Tank Tables'!$G$5:$H$130,2,FALSE())+(E67-INT(E67))*(VLOOKUP(INT(E67)+1,'Tank Tables'!$G$5:$H$130,2,FALSE())-VLOOKUP(INT(E67),'Tank Tables'!$G$5:$H$130,2,FALSE())),0),IFERROR(ROUND(VLOOKUP(INT(E67),'Tank Tables'!$G$5:$H$130,2,FALSE()),0),"?")))</f>
        <v/>
      </c>
      <c r="N67" s="46" t="str">
        <f aca="false">IF(F67="","",IFERROR(ROUND(VLOOKUP(INT(F67),'Tank Tables'!$A$5:$B$121,2,FALSE())+(F67-INT(F67))*(VLOOKUP(INT(F67)+1,'Tank Tables'!$A$5:$B$121,2,FALSE())-VLOOKUP(INT(F67),'Tank Tables'!$A$5:$B$121,2,FALSE())),0),IFERROR(ROUND(VLOOKUP(INT(F67),'Tank Tables'!$A$5:$B$121,2,FALSE()),0),"?")))</f>
        <v/>
      </c>
      <c r="O67" s="46" t="str">
        <f aca="false">IF(G67="","",IFERROR(ROUND(VLOOKUP(INT(G67),'Tank Tables'!$C$5:$D$130,2,FALSE())+(G67-INT(G67))*(VLOOKUP(INT(G67)+1,'Tank Tables'!$C$5:$D$130,2,FALSE())-VLOOKUP(INT(G67),'Tank Tables'!$C$5:$D$130,2,FALSE())),0),IFERROR(ROUND(VLOOKUP(INT(G67),'Tank Tables'!$C$5:$D$130,2,FALSE()),0),"?")))</f>
        <v/>
      </c>
      <c r="P67" s="46" t="str">
        <f aca="false">IF(H67="","",IFERROR(ROUND(VLOOKUP(INT(H67),'Tank Tables'!$E$5:$F$130,2,FALSE())+(H67-INT(H67))*(VLOOKUP(INT(H67)+1,'Tank Tables'!$E$5:$F$130,2,FALSE())-VLOOKUP(INT(H67),'Tank Tables'!$E$5:$F$130,2,FALSE())),0),IFERROR(ROUND(VLOOKUP(INT(H67),'Tank Tables'!$E$5:$F$130,2,FALSE()),0),"?")))</f>
        <v/>
      </c>
      <c r="Q67" s="46" t="str">
        <f aca="false">IF(I67="","",IFERROR(ROUND(VLOOKUP(INT(I67),'Tank Tables'!$G$5:$H$130,2,FALSE())+(I67-INT(I67))*(VLOOKUP(INT(I67)+1,'Tank Tables'!$G$5:$H$130,2,FALSE())-VLOOKUP(INT(I67),'Tank Tables'!$G$5:$H$130,2,FALSE())),0),IFERROR(ROUND(VLOOKUP(INT(I67),'Tank Tables'!$G$5:$H$130,2,FALSE()),0),"?")))</f>
        <v/>
      </c>
      <c r="R67" s="47" t="str">
        <f aca="false">IF(COUNT(J67:M67)=0,"",SUM(J67:M67))</f>
        <v/>
      </c>
      <c r="S67" s="47" t="str">
        <f aca="false">IF(COUNT(N67:Q67)=0,"",SUM(N67:Q67))</f>
        <v/>
      </c>
      <c r="T67" s="53" t="str">
        <f aca="false">IF(COUNT(R67:S67)=0,"",SUM(R67:S67))</f>
        <v/>
      </c>
      <c r="U67" s="54"/>
      <c r="V67" s="47" t="str">
        <f aca="false">IF(T67="","",IF(T66="","",T66+U67-T67))</f>
        <v/>
      </c>
      <c r="W67" s="46" t="str">
        <f aca="false">IF(T67="","",Settings!$C$7-T67)</f>
        <v/>
      </c>
      <c r="X67" s="46" t="str">
        <f aca="false">IF(T67="","",MAX(0,INT(W67/Settings!$C$8)))</f>
        <v/>
      </c>
      <c r="Y67" s="57" t="str">
        <f aca="false">IF(T67="","",IF(X67&gt;=2,"ROOM FOR "&amp;X67&amp;" TRUCKS",IF(X67=1,"ROOM FOR 1 TRUCK","")))</f>
        <v/>
      </c>
      <c r="Z67" s="54"/>
      <c r="AA67" s="54"/>
      <c r="AB67" s="54"/>
      <c r="AC67" s="47" t="str">
        <f aca="false">IF(COUNT(Z67:AA67)=0,"",SUM(Z67:AA67))</f>
        <v/>
      </c>
      <c r="AD67" s="47" t="str">
        <f aca="false">IF(AC67="","",IF(AC66="","",AC66+AB67-AC67))</f>
        <v/>
      </c>
      <c r="AE67" s="54"/>
      <c r="AF67" s="54"/>
      <c r="AG67" s="47" t="str">
        <f aca="false">IF(AE67="","",IF(AE66="","",AE66+AF67-AE67))</f>
        <v/>
      </c>
      <c r="AH67" s="58"/>
    </row>
    <row r="68" customFormat="false" ht="19.5" hidden="false" customHeight="true" outlineLevel="0" collapsed="false">
      <c r="A68" s="44"/>
      <c r="B68" s="51"/>
      <c r="C68" s="51"/>
      <c r="D68" s="51"/>
      <c r="E68" s="51"/>
      <c r="F68" s="51"/>
      <c r="G68" s="51"/>
      <c r="H68" s="51"/>
      <c r="I68" s="51"/>
      <c r="J68" s="52" t="str">
        <f aca="false">IF(B68="","",IFERROR(ROUND(VLOOKUP(INT(B68),'Tank Tables'!$A$5:$B$121,2,FALSE())+(B68-INT(B68))*(VLOOKUP(INT(B68)+1,'Tank Tables'!$A$5:$B$121,2,FALSE())-VLOOKUP(INT(B68),'Tank Tables'!$A$5:$B$121,2,FALSE())),0),IFERROR(ROUND(VLOOKUP(INT(B68),'Tank Tables'!$A$5:$B$121,2,FALSE()),0),"?")))</f>
        <v/>
      </c>
      <c r="K68" s="52" t="str">
        <f aca="false">IF(C68="","",IFERROR(ROUND(VLOOKUP(INT(C68),'Tank Tables'!$C$5:$D$130,2,FALSE())+(C68-INT(C68))*(VLOOKUP(INT(C68)+1,'Tank Tables'!$C$5:$D$130,2,FALSE())-VLOOKUP(INT(C68),'Tank Tables'!$C$5:$D$130,2,FALSE())),0),IFERROR(ROUND(VLOOKUP(INT(C68),'Tank Tables'!$C$5:$D$130,2,FALSE()),0),"?")))</f>
        <v/>
      </c>
      <c r="L68" s="52" t="str">
        <f aca="false">IF(D68="","",IFERROR(ROUND(VLOOKUP(INT(D68),'Tank Tables'!$E$5:$F$130,2,FALSE())+(D68-INT(D68))*(VLOOKUP(INT(D68)+1,'Tank Tables'!$E$5:$F$130,2,FALSE())-VLOOKUP(INT(D68),'Tank Tables'!$E$5:$F$130,2,FALSE())),0),IFERROR(ROUND(VLOOKUP(INT(D68),'Tank Tables'!$E$5:$F$130,2,FALSE()),0),"?")))</f>
        <v/>
      </c>
      <c r="M68" s="52" t="str">
        <f aca="false">IF(E68="","",IFERROR(ROUND(VLOOKUP(INT(E68),'Tank Tables'!$G$5:$H$130,2,FALSE())+(E68-INT(E68))*(VLOOKUP(INT(E68)+1,'Tank Tables'!$G$5:$H$130,2,FALSE())-VLOOKUP(INT(E68),'Tank Tables'!$G$5:$H$130,2,FALSE())),0),IFERROR(ROUND(VLOOKUP(INT(E68),'Tank Tables'!$G$5:$H$130,2,FALSE()),0),"?")))</f>
        <v/>
      </c>
      <c r="N68" s="52" t="str">
        <f aca="false">IF(F68="","",IFERROR(ROUND(VLOOKUP(INT(F68),'Tank Tables'!$A$5:$B$121,2,FALSE())+(F68-INT(F68))*(VLOOKUP(INT(F68)+1,'Tank Tables'!$A$5:$B$121,2,FALSE())-VLOOKUP(INT(F68),'Tank Tables'!$A$5:$B$121,2,FALSE())),0),IFERROR(ROUND(VLOOKUP(INT(F68),'Tank Tables'!$A$5:$B$121,2,FALSE()),0),"?")))</f>
        <v/>
      </c>
      <c r="O68" s="52" t="str">
        <f aca="false">IF(G68="","",IFERROR(ROUND(VLOOKUP(INT(G68),'Tank Tables'!$C$5:$D$130,2,FALSE())+(G68-INT(G68))*(VLOOKUP(INT(G68)+1,'Tank Tables'!$C$5:$D$130,2,FALSE())-VLOOKUP(INT(G68),'Tank Tables'!$C$5:$D$130,2,FALSE())),0),IFERROR(ROUND(VLOOKUP(INT(G68),'Tank Tables'!$C$5:$D$130,2,FALSE()),0),"?")))</f>
        <v/>
      </c>
      <c r="P68" s="52" t="str">
        <f aca="false">IF(H68="","",IFERROR(ROUND(VLOOKUP(INT(H68),'Tank Tables'!$E$5:$F$130,2,FALSE())+(H68-INT(H68))*(VLOOKUP(INT(H68)+1,'Tank Tables'!$E$5:$F$130,2,FALSE())-VLOOKUP(INT(H68),'Tank Tables'!$E$5:$F$130,2,FALSE())),0),IFERROR(ROUND(VLOOKUP(INT(H68),'Tank Tables'!$E$5:$F$130,2,FALSE()),0),"?")))</f>
        <v/>
      </c>
      <c r="Q68" s="52" t="str">
        <f aca="false">IF(I68="","",IFERROR(ROUND(VLOOKUP(INT(I68),'Tank Tables'!$G$5:$H$130,2,FALSE())+(I68-INT(I68))*(VLOOKUP(INT(I68)+1,'Tank Tables'!$G$5:$H$130,2,FALSE())-VLOOKUP(INT(I68),'Tank Tables'!$G$5:$H$130,2,FALSE())),0),IFERROR(ROUND(VLOOKUP(INT(I68),'Tank Tables'!$G$5:$H$130,2,FALSE()),0),"?")))</f>
        <v/>
      </c>
      <c r="R68" s="47" t="str">
        <f aca="false">IF(COUNT(J68:M68)=0,"",SUM(J68:M68))</f>
        <v/>
      </c>
      <c r="S68" s="47" t="str">
        <f aca="false">IF(COUNT(N68:Q68)=0,"",SUM(N68:Q68))</f>
        <v/>
      </c>
      <c r="T68" s="53" t="str">
        <f aca="false">IF(COUNT(R68:S68)=0,"",SUM(R68:S68))</f>
        <v/>
      </c>
      <c r="U68" s="54"/>
      <c r="V68" s="47" t="str">
        <f aca="false">IF(T68="","",IF(T67="","",T67+U68-T68))</f>
        <v/>
      </c>
      <c r="W68" s="52" t="str">
        <f aca="false">IF(T68="","",Settings!$C$7-T68)</f>
        <v/>
      </c>
      <c r="X68" s="52" t="str">
        <f aca="false">IF(T68="","",MAX(0,INT(W68/Settings!$C$8)))</f>
        <v/>
      </c>
      <c r="Y68" s="55" t="str">
        <f aca="false">IF(T68="","",IF(X68&gt;=2,"ROOM FOR "&amp;X68&amp;" TRUCKS",IF(X68=1,"ROOM FOR 1 TRUCK","")))</f>
        <v/>
      </c>
      <c r="Z68" s="54"/>
      <c r="AA68" s="54"/>
      <c r="AB68" s="54"/>
      <c r="AC68" s="47" t="str">
        <f aca="false">IF(COUNT(Z68:AA68)=0,"",SUM(Z68:AA68))</f>
        <v/>
      </c>
      <c r="AD68" s="47" t="str">
        <f aca="false">IF(AC68="","",IF(AC67="","",AC67+AB68-AC68))</f>
        <v/>
      </c>
      <c r="AE68" s="54"/>
      <c r="AF68" s="54"/>
      <c r="AG68" s="47" t="str">
        <f aca="false">IF(AE68="","",IF(AE67="","",AE67+AF68-AE68))</f>
        <v/>
      </c>
      <c r="AH68" s="59"/>
    </row>
    <row r="69" customFormat="false" ht="19.5" hidden="false" customHeight="true" outlineLevel="0" collapsed="false">
      <c r="A69" s="44"/>
      <c r="B69" s="51"/>
      <c r="C69" s="51"/>
      <c r="D69" s="51"/>
      <c r="E69" s="51"/>
      <c r="F69" s="51"/>
      <c r="G69" s="51"/>
      <c r="H69" s="51"/>
      <c r="I69" s="51"/>
      <c r="J69" s="46" t="str">
        <f aca="false">IF(B69="","",IFERROR(ROUND(VLOOKUP(INT(B69),'Tank Tables'!$A$5:$B$121,2,FALSE())+(B69-INT(B69))*(VLOOKUP(INT(B69)+1,'Tank Tables'!$A$5:$B$121,2,FALSE())-VLOOKUP(INT(B69),'Tank Tables'!$A$5:$B$121,2,FALSE())),0),IFERROR(ROUND(VLOOKUP(INT(B69),'Tank Tables'!$A$5:$B$121,2,FALSE()),0),"?")))</f>
        <v/>
      </c>
      <c r="K69" s="46" t="str">
        <f aca="false">IF(C69="","",IFERROR(ROUND(VLOOKUP(INT(C69),'Tank Tables'!$C$5:$D$130,2,FALSE())+(C69-INT(C69))*(VLOOKUP(INT(C69)+1,'Tank Tables'!$C$5:$D$130,2,FALSE())-VLOOKUP(INT(C69),'Tank Tables'!$C$5:$D$130,2,FALSE())),0),IFERROR(ROUND(VLOOKUP(INT(C69),'Tank Tables'!$C$5:$D$130,2,FALSE()),0),"?")))</f>
        <v/>
      </c>
      <c r="L69" s="46" t="str">
        <f aca="false">IF(D69="","",IFERROR(ROUND(VLOOKUP(INT(D69),'Tank Tables'!$E$5:$F$130,2,FALSE())+(D69-INT(D69))*(VLOOKUP(INT(D69)+1,'Tank Tables'!$E$5:$F$130,2,FALSE())-VLOOKUP(INT(D69),'Tank Tables'!$E$5:$F$130,2,FALSE())),0),IFERROR(ROUND(VLOOKUP(INT(D69),'Tank Tables'!$E$5:$F$130,2,FALSE()),0),"?")))</f>
        <v/>
      </c>
      <c r="M69" s="46" t="str">
        <f aca="false">IF(E69="","",IFERROR(ROUND(VLOOKUP(INT(E69),'Tank Tables'!$G$5:$H$130,2,FALSE())+(E69-INT(E69))*(VLOOKUP(INT(E69)+1,'Tank Tables'!$G$5:$H$130,2,FALSE())-VLOOKUP(INT(E69),'Tank Tables'!$G$5:$H$130,2,FALSE())),0),IFERROR(ROUND(VLOOKUP(INT(E69),'Tank Tables'!$G$5:$H$130,2,FALSE()),0),"?")))</f>
        <v/>
      </c>
      <c r="N69" s="46" t="str">
        <f aca="false">IF(F69="","",IFERROR(ROUND(VLOOKUP(INT(F69),'Tank Tables'!$A$5:$B$121,2,FALSE())+(F69-INT(F69))*(VLOOKUP(INT(F69)+1,'Tank Tables'!$A$5:$B$121,2,FALSE())-VLOOKUP(INT(F69),'Tank Tables'!$A$5:$B$121,2,FALSE())),0),IFERROR(ROUND(VLOOKUP(INT(F69),'Tank Tables'!$A$5:$B$121,2,FALSE()),0),"?")))</f>
        <v/>
      </c>
      <c r="O69" s="46" t="str">
        <f aca="false">IF(G69="","",IFERROR(ROUND(VLOOKUP(INT(G69),'Tank Tables'!$C$5:$D$130,2,FALSE())+(G69-INT(G69))*(VLOOKUP(INT(G69)+1,'Tank Tables'!$C$5:$D$130,2,FALSE())-VLOOKUP(INT(G69),'Tank Tables'!$C$5:$D$130,2,FALSE())),0),IFERROR(ROUND(VLOOKUP(INT(G69),'Tank Tables'!$C$5:$D$130,2,FALSE()),0),"?")))</f>
        <v/>
      </c>
      <c r="P69" s="46" t="str">
        <f aca="false">IF(H69="","",IFERROR(ROUND(VLOOKUP(INT(H69),'Tank Tables'!$E$5:$F$130,2,FALSE())+(H69-INT(H69))*(VLOOKUP(INT(H69)+1,'Tank Tables'!$E$5:$F$130,2,FALSE())-VLOOKUP(INT(H69),'Tank Tables'!$E$5:$F$130,2,FALSE())),0),IFERROR(ROUND(VLOOKUP(INT(H69),'Tank Tables'!$E$5:$F$130,2,FALSE()),0),"?")))</f>
        <v/>
      </c>
      <c r="Q69" s="46" t="str">
        <f aca="false">IF(I69="","",IFERROR(ROUND(VLOOKUP(INT(I69),'Tank Tables'!$G$5:$H$130,2,FALSE())+(I69-INT(I69))*(VLOOKUP(INT(I69)+1,'Tank Tables'!$G$5:$H$130,2,FALSE())-VLOOKUP(INT(I69),'Tank Tables'!$G$5:$H$130,2,FALSE())),0),IFERROR(ROUND(VLOOKUP(INT(I69),'Tank Tables'!$G$5:$H$130,2,FALSE()),0),"?")))</f>
        <v/>
      </c>
      <c r="R69" s="47" t="str">
        <f aca="false">IF(COUNT(J69:M69)=0,"",SUM(J69:M69))</f>
        <v/>
      </c>
      <c r="S69" s="47" t="str">
        <f aca="false">IF(COUNT(N69:Q69)=0,"",SUM(N69:Q69))</f>
        <v/>
      </c>
      <c r="T69" s="53" t="str">
        <f aca="false">IF(COUNT(R69:S69)=0,"",SUM(R69:S69))</f>
        <v/>
      </c>
      <c r="U69" s="54"/>
      <c r="V69" s="47" t="str">
        <f aca="false">IF(T69="","",IF(T68="","",T68+U69-T69))</f>
        <v/>
      </c>
      <c r="W69" s="46" t="str">
        <f aca="false">IF(T69="","",Settings!$C$7-T69)</f>
        <v/>
      </c>
      <c r="X69" s="46" t="str">
        <f aca="false">IF(T69="","",MAX(0,INT(W69/Settings!$C$8)))</f>
        <v/>
      </c>
      <c r="Y69" s="57" t="str">
        <f aca="false">IF(T69="","",IF(X69&gt;=2,"ROOM FOR "&amp;X69&amp;" TRUCKS",IF(X69=1,"ROOM FOR 1 TRUCK","")))</f>
        <v/>
      </c>
      <c r="Z69" s="54"/>
      <c r="AA69" s="54"/>
      <c r="AB69" s="54"/>
      <c r="AC69" s="47" t="str">
        <f aca="false">IF(COUNT(Z69:AA69)=0,"",SUM(Z69:AA69))</f>
        <v/>
      </c>
      <c r="AD69" s="47" t="str">
        <f aca="false">IF(AC69="","",IF(AC68="","",AC68+AB69-AC69))</f>
        <v/>
      </c>
      <c r="AE69" s="54"/>
      <c r="AF69" s="54"/>
      <c r="AG69" s="47" t="str">
        <f aca="false">IF(AE69="","",IF(AE68="","",AE68+AF69-AE69))</f>
        <v/>
      </c>
      <c r="AH69" s="58"/>
    </row>
    <row r="70" customFormat="false" ht="19.5" hidden="false" customHeight="true" outlineLevel="0" collapsed="false">
      <c r="A70" s="44"/>
      <c r="B70" s="51"/>
      <c r="C70" s="51"/>
      <c r="D70" s="51"/>
      <c r="E70" s="51"/>
      <c r="F70" s="51"/>
      <c r="G70" s="51"/>
      <c r="H70" s="51"/>
      <c r="I70" s="51"/>
      <c r="J70" s="52" t="str">
        <f aca="false">IF(B70="","",IFERROR(ROUND(VLOOKUP(INT(B70),'Tank Tables'!$A$5:$B$121,2,FALSE())+(B70-INT(B70))*(VLOOKUP(INT(B70)+1,'Tank Tables'!$A$5:$B$121,2,FALSE())-VLOOKUP(INT(B70),'Tank Tables'!$A$5:$B$121,2,FALSE())),0),IFERROR(ROUND(VLOOKUP(INT(B70),'Tank Tables'!$A$5:$B$121,2,FALSE()),0),"?")))</f>
        <v/>
      </c>
      <c r="K70" s="52" t="str">
        <f aca="false">IF(C70="","",IFERROR(ROUND(VLOOKUP(INT(C70),'Tank Tables'!$C$5:$D$130,2,FALSE())+(C70-INT(C70))*(VLOOKUP(INT(C70)+1,'Tank Tables'!$C$5:$D$130,2,FALSE())-VLOOKUP(INT(C70),'Tank Tables'!$C$5:$D$130,2,FALSE())),0),IFERROR(ROUND(VLOOKUP(INT(C70),'Tank Tables'!$C$5:$D$130,2,FALSE()),0),"?")))</f>
        <v/>
      </c>
      <c r="L70" s="52" t="str">
        <f aca="false">IF(D70="","",IFERROR(ROUND(VLOOKUP(INT(D70),'Tank Tables'!$E$5:$F$130,2,FALSE())+(D70-INT(D70))*(VLOOKUP(INT(D70)+1,'Tank Tables'!$E$5:$F$130,2,FALSE())-VLOOKUP(INT(D70),'Tank Tables'!$E$5:$F$130,2,FALSE())),0),IFERROR(ROUND(VLOOKUP(INT(D70),'Tank Tables'!$E$5:$F$130,2,FALSE()),0),"?")))</f>
        <v/>
      </c>
      <c r="M70" s="52" t="str">
        <f aca="false">IF(E70="","",IFERROR(ROUND(VLOOKUP(INT(E70),'Tank Tables'!$G$5:$H$130,2,FALSE())+(E70-INT(E70))*(VLOOKUP(INT(E70)+1,'Tank Tables'!$G$5:$H$130,2,FALSE())-VLOOKUP(INT(E70),'Tank Tables'!$G$5:$H$130,2,FALSE())),0),IFERROR(ROUND(VLOOKUP(INT(E70),'Tank Tables'!$G$5:$H$130,2,FALSE()),0),"?")))</f>
        <v/>
      </c>
      <c r="N70" s="52" t="str">
        <f aca="false">IF(F70="","",IFERROR(ROUND(VLOOKUP(INT(F70),'Tank Tables'!$A$5:$B$121,2,FALSE())+(F70-INT(F70))*(VLOOKUP(INT(F70)+1,'Tank Tables'!$A$5:$B$121,2,FALSE())-VLOOKUP(INT(F70),'Tank Tables'!$A$5:$B$121,2,FALSE())),0),IFERROR(ROUND(VLOOKUP(INT(F70),'Tank Tables'!$A$5:$B$121,2,FALSE()),0),"?")))</f>
        <v/>
      </c>
      <c r="O70" s="52" t="str">
        <f aca="false">IF(G70="","",IFERROR(ROUND(VLOOKUP(INT(G70),'Tank Tables'!$C$5:$D$130,2,FALSE())+(G70-INT(G70))*(VLOOKUP(INT(G70)+1,'Tank Tables'!$C$5:$D$130,2,FALSE())-VLOOKUP(INT(G70),'Tank Tables'!$C$5:$D$130,2,FALSE())),0),IFERROR(ROUND(VLOOKUP(INT(G70),'Tank Tables'!$C$5:$D$130,2,FALSE()),0),"?")))</f>
        <v/>
      </c>
      <c r="P70" s="52" t="str">
        <f aca="false">IF(H70="","",IFERROR(ROUND(VLOOKUP(INT(H70),'Tank Tables'!$E$5:$F$130,2,FALSE())+(H70-INT(H70))*(VLOOKUP(INT(H70)+1,'Tank Tables'!$E$5:$F$130,2,FALSE())-VLOOKUP(INT(H70),'Tank Tables'!$E$5:$F$130,2,FALSE())),0),IFERROR(ROUND(VLOOKUP(INT(H70),'Tank Tables'!$E$5:$F$130,2,FALSE()),0),"?")))</f>
        <v/>
      </c>
      <c r="Q70" s="52" t="str">
        <f aca="false">IF(I70="","",IFERROR(ROUND(VLOOKUP(INT(I70),'Tank Tables'!$G$5:$H$130,2,FALSE())+(I70-INT(I70))*(VLOOKUP(INT(I70)+1,'Tank Tables'!$G$5:$H$130,2,FALSE())-VLOOKUP(INT(I70),'Tank Tables'!$G$5:$H$130,2,FALSE())),0),IFERROR(ROUND(VLOOKUP(INT(I70),'Tank Tables'!$G$5:$H$130,2,FALSE()),0),"?")))</f>
        <v/>
      </c>
      <c r="R70" s="47" t="str">
        <f aca="false">IF(COUNT(J70:M70)=0,"",SUM(J70:M70))</f>
        <v/>
      </c>
      <c r="S70" s="47" t="str">
        <f aca="false">IF(COUNT(N70:Q70)=0,"",SUM(N70:Q70))</f>
        <v/>
      </c>
      <c r="T70" s="53" t="str">
        <f aca="false">IF(COUNT(R70:S70)=0,"",SUM(R70:S70))</f>
        <v/>
      </c>
      <c r="U70" s="54"/>
      <c r="V70" s="47" t="str">
        <f aca="false">IF(T70="","",IF(T69="","",T69+U70-T70))</f>
        <v/>
      </c>
      <c r="W70" s="52" t="str">
        <f aca="false">IF(T70="","",Settings!$C$7-T70)</f>
        <v/>
      </c>
      <c r="X70" s="52" t="str">
        <f aca="false">IF(T70="","",MAX(0,INT(W70/Settings!$C$8)))</f>
        <v/>
      </c>
      <c r="Y70" s="55" t="str">
        <f aca="false">IF(T70="","",IF(X70&gt;=2,"ROOM FOR "&amp;X70&amp;" TRUCKS",IF(X70=1,"ROOM FOR 1 TRUCK","")))</f>
        <v/>
      </c>
      <c r="Z70" s="54"/>
      <c r="AA70" s="54"/>
      <c r="AB70" s="54"/>
      <c r="AC70" s="47" t="str">
        <f aca="false">IF(COUNT(Z70:AA70)=0,"",SUM(Z70:AA70))</f>
        <v/>
      </c>
      <c r="AD70" s="47" t="str">
        <f aca="false">IF(AC70="","",IF(AC69="","",AC69+AB70-AC70))</f>
        <v/>
      </c>
      <c r="AE70" s="54"/>
      <c r="AF70" s="54"/>
      <c r="AG70" s="47" t="str">
        <f aca="false">IF(AE70="","",IF(AE69="","",AE69+AF70-AE70))</f>
        <v/>
      </c>
      <c r="AH70" s="59"/>
    </row>
  </sheetData>
  <mergeCells count="8">
    <mergeCell ref="A1:L1"/>
    <mergeCell ref="A2:T2"/>
    <mergeCell ref="B3:I3"/>
    <mergeCell ref="J3:Q3"/>
    <mergeCell ref="R3:T3"/>
    <mergeCell ref="U3:Y3"/>
    <mergeCell ref="Z3:AD3"/>
    <mergeCell ref="AE3:AG3"/>
  </mergeCells>
  <conditionalFormatting sqref="Y6:Y70">
    <cfRule type="expression" priority="2" aboveAverage="0" equalAverage="0" bottom="0" percent="0" rank="0" text="" dxfId="1">
      <formula>LEFT(Y6,4)="ROOM"</formula>
    </cfRule>
  </conditionalFormatting>
  <conditionalFormatting sqref="J6:Q70">
    <cfRule type="cellIs" priority="3" operator="equal" aboveAverage="0" equalAverage="0" bottom="0" percent="0" rank="0" text="" dxfId="2">
      <formula>"?"</formula>
    </cfRule>
  </conditionalFormatting>
  <conditionalFormatting sqref="V6:V70">
    <cfRule type="cellIs" priority="4" operator="lessThan" aboveAverage="0" equalAverage="0" bottom="0" percent="0" rank="0" text="" dxfId="2">
      <formula>0</formula>
    </cfRule>
  </conditionalFormatting>
  <conditionalFormatting sqref="AD6:AD70">
    <cfRule type="cellIs" priority="5" operator="lessThan" aboveAverage="0" equalAverage="0" bottom="0" percent="0" rank="0" text="" dxfId="2">
      <formula>0</formula>
    </cfRule>
  </conditionalFormatting>
  <conditionalFormatting sqref="AG6:AG70">
    <cfRule type="cellIs" priority="6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3" min="3" style="0" width="24"/>
    <col collapsed="false" customWidth="true" hidden="false" outlineLevel="0" max="4" min="4" style="0" width="52"/>
  </cols>
  <sheetData>
    <row r="2" customFormat="false" ht="19.7" hidden="false" customHeight="false" outlineLevel="0" collapsed="false">
      <c r="B2" s="60" t="s">
        <v>70</v>
      </c>
    </row>
    <row r="3" customFormat="false" ht="15" hidden="false" customHeight="false" outlineLevel="0" collapsed="false">
      <c r="B3" s="61" t="s">
        <v>71</v>
      </c>
    </row>
    <row r="5" customFormat="false" ht="15" hidden="false" customHeight="false" outlineLevel="0" collapsed="false">
      <c r="B5" s="62" t="s">
        <v>72</v>
      </c>
      <c r="C5" s="62"/>
      <c r="D5" s="62"/>
    </row>
    <row r="6" customFormat="false" ht="15" hidden="false" customHeight="false" outlineLevel="0" collapsed="false">
      <c r="B6" s="63" t="s">
        <v>73</v>
      </c>
      <c r="C6" s="64" t="s">
        <v>74</v>
      </c>
    </row>
    <row r="7" customFormat="false" ht="15" hidden="false" customHeight="false" outlineLevel="0" collapsed="false">
      <c r="B7" s="63" t="s">
        <v>75</v>
      </c>
      <c r="C7" s="65" t="n">
        <v>91500</v>
      </c>
      <c r="D7" s="61" t="s">
        <v>76</v>
      </c>
    </row>
    <row r="8" customFormat="false" ht="15" hidden="false" customHeight="false" outlineLevel="0" collapsed="false">
      <c r="B8" s="63" t="s">
        <v>77</v>
      </c>
      <c r="C8" s="65" t="n">
        <v>7500</v>
      </c>
      <c r="D8" s="61" t="s">
        <v>78</v>
      </c>
    </row>
    <row r="10" customFormat="false" ht="15" hidden="false" customHeight="false" outlineLevel="0" collapsed="false">
      <c r="B10" s="62" t="s">
        <v>79</v>
      </c>
      <c r="C10" s="62"/>
      <c r="D10" s="62"/>
    </row>
    <row r="11" customFormat="false" ht="15" hidden="false" customHeight="false" outlineLevel="0" collapsed="false">
      <c r="B11" s="63" t="s">
        <v>12</v>
      </c>
      <c r="C11" s="66" t="n">
        <v>106</v>
      </c>
    </row>
    <row r="12" customFormat="false" ht="15" hidden="false" customHeight="false" outlineLevel="0" collapsed="false">
      <c r="B12" s="63" t="s">
        <v>13</v>
      </c>
      <c r="C12" s="66" t="n">
        <v>118</v>
      </c>
    </row>
    <row r="13" customFormat="false" ht="15" hidden="false" customHeight="false" outlineLevel="0" collapsed="false">
      <c r="B13" s="63" t="s">
        <v>14</v>
      </c>
      <c r="C13" s="66" t="n">
        <v>118</v>
      </c>
    </row>
    <row r="14" customFormat="false" ht="15" hidden="false" customHeight="false" outlineLevel="0" collapsed="false">
      <c r="B14" s="63" t="s">
        <v>15</v>
      </c>
      <c r="C14" s="66" t="n">
        <v>118</v>
      </c>
    </row>
    <row r="15" customFormat="false" ht="15" hidden="false" customHeight="false" outlineLevel="0" collapsed="false">
      <c r="B15" s="63" t="s">
        <v>80</v>
      </c>
      <c r="C15" s="67" t="n">
        <f aca="false">2*(VLOOKUP(C11,'Tank Tables'!$A$5:$B$121,2,FALSE())+VLOOKUP(C12,'Tank Tables'!$C$5:$D$130,2,FALSE())+VLOOKUP(C13,'Tank Tables'!$E$5:$F$130,2,FALSE())+VLOOKUP(C14,'Tank Tables'!$G$5:$H$130,2,FALSE()))</f>
        <v>93908</v>
      </c>
      <c r="D15" s="61" t="s">
        <v>81</v>
      </c>
    </row>
    <row r="16" customFormat="false" ht="15" hidden="false" customHeight="false" outlineLevel="0" collapsed="false">
      <c r="B16" s="63" t="s">
        <v>82</v>
      </c>
      <c r="C16" s="66" t="n">
        <v>40</v>
      </c>
      <c r="D16" s="61" t="s">
        <v>83</v>
      </c>
    </row>
    <row r="18" customFormat="false" ht="15" hidden="false" customHeight="false" outlineLevel="0" collapsed="false">
      <c r="B18" s="62" t="s">
        <v>84</v>
      </c>
      <c r="C18" s="62"/>
      <c r="D18" s="62"/>
    </row>
    <row r="19" customFormat="false" ht="15" hidden="false" customHeight="false" outlineLevel="0" collapsed="false">
      <c r="B19" s="68" t="s">
        <v>85</v>
      </c>
    </row>
    <row r="20" customFormat="false" ht="15" hidden="false" customHeight="false" outlineLevel="0" collapsed="false">
      <c r="B20" s="68" t="s">
        <v>86</v>
      </c>
    </row>
    <row r="21" customFormat="false" ht="15" hidden="false" customHeight="false" outlineLevel="0" collapsed="false">
      <c r="B21" s="68" t="s">
        <v>87</v>
      </c>
    </row>
    <row r="22" customFormat="false" ht="15" hidden="false" customHeight="false" outlineLevel="0" collapsed="false">
      <c r="B22" s="68" t="s">
        <v>88</v>
      </c>
    </row>
    <row r="23" customFormat="false" ht="15" hidden="false" customHeight="false" outlineLevel="0" collapsed="false">
      <c r="B23" s="68" t="s">
        <v>89</v>
      </c>
    </row>
    <row r="24" customFormat="false" ht="15" hidden="false" customHeight="false" outlineLevel="0" collapsed="false">
      <c r="B24" s="68" t="s">
        <v>90</v>
      </c>
    </row>
  </sheetData>
  <mergeCells count="3">
    <mergeCell ref="B5:D5"/>
    <mergeCell ref="B10:D10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3"/>
    <col collapsed="false" customWidth="true" hidden="false" outlineLevel="0" max="10" min="10" style="0" width="95"/>
  </cols>
  <sheetData>
    <row r="1" customFormat="false" ht="25.5" hidden="false" customHeight="true" outlineLevel="0" collapsed="false">
      <c r="A1" s="27" t="s">
        <v>91</v>
      </c>
      <c r="B1" s="27"/>
      <c r="C1" s="27"/>
      <c r="D1" s="27"/>
      <c r="E1" s="27"/>
      <c r="F1" s="27"/>
      <c r="G1" s="27"/>
      <c r="H1" s="27"/>
    </row>
    <row r="2" customFormat="false" ht="15" hidden="false" customHeight="false" outlineLevel="0" collapsed="false">
      <c r="A2" s="23" t="s">
        <v>92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69" t="s">
        <v>93</v>
      </c>
      <c r="B3" s="69"/>
      <c r="C3" s="69" t="s">
        <v>94</v>
      </c>
      <c r="D3" s="69"/>
      <c r="E3" s="69" t="s">
        <v>95</v>
      </c>
      <c r="F3" s="69"/>
      <c r="G3" s="69" t="s">
        <v>96</v>
      </c>
      <c r="H3" s="69"/>
    </row>
    <row r="4" customFormat="false" ht="15" hidden="false" customHeight="false" outlineLevel="0" collapsed="false">
      <c r="A4" s="70" t="s">
        <v>9</v>
      </c>
      <c r="B4" s="70" t="s">
        <v>10</v>
      </c>
      <c r="C4" s="70" t="s">
        <v>9</v>
      </c>
      <c r="D4" s="70" t="s">
        <v>10</v>
      </c>
      <c r="E4" s="70" t="s">
        <v>9</v>
      </c>
      <c r="F4" s="70" t="s">
        <v>10</v>
      </c>
      <c r="G4" s="70" t="s">
        <v>9</v>
      </c>
      <c r="H4" s="70" t="s">
        <v>10</v>
      </c>
      <c r="J4" s="71" t="s">
        <v>67</v>
      </c>
    </row>
    <row r="5" customFormat="false" ht="15" hidden="false" customHeight="false" outlineLevel="0" collapsed="false">
      <c r="A5" s="72" t="n">
        <v>0</v>
      </c>
      <c r="B5" s="46" t="n">
        <v>494</v>
      </c>
      <c r="C5" s="72" t="n">
        <v>0</v>
      </c>
      <c r="D5" s="46" t="n">
        <v>22</v>
      </c>
      <c r="E5" s="72" t="n">
        <v>0</v>
      </c>
      <c r="F5" s="46" t="n">
        <v>31</v>
      </c>
      <c r="G5" s="72" t="n">
        <v>0</v>
      </c>
      <c r="H5" s="46" t="n">
        <v>2</v>
      </c>
      <c r="J5" s="73" t="s">
        <v>97</v>
      </c>
    </row>
    <row r="6" customFormat="false" ht="15" hidden="false" customHeight="false" outlineLevel="0" collapsed="false">
      <c r="A6" s="74" t="n">
        <v>1</v>
      </c>
      <c r="B6" s="52" t="n">
        <v>563</v>
      </c>
      <c r="C6" s="74" t="n">
        <v>1</v>
      </c>
      <c r="D6" s="52" t="n">
        <v>74</v>
      </c>
      <c r="E6" s="74" t="n">
        <v>1</v>
      </c>
      <c r="F6" s="52" t="n">
        <v>90</v>
      </c>
      <c r="G6" s="74" t="n">
        <v>1</v>
      </c>
      <c r="H6" s="52" t="n">
        <v>31</v>
      </c>
      <c r="J6" s="73" t="s">
        <v>98</v>
      </c>
    </row>
    <row r="7" customFormat="false" ht="15" hidden="false" customHeight="false" outlineLevel="0" collapsed="false">
      <c r="A7" s="72" t="n">
        <v>2</v>
      </c>
      <c r="B7" s="46" t="n">
        <v>637</v>
      </c>
      <c r="C7" s="72" t="n">
        <v>2</v>
      </c>
      <c r="D7" s="46" t="n">
        <v>132</v>
      </c>
      <c r="E7" s="72" t="n">
        <v>2</v>
      </c>
      <c r="F7" s="46" t="n">
        <v>151</v>
      </c>
      <c r="G7" s="72" t="n">
        <v>2</v>
      </c>
      <c r="H7" s="46" t="n">
        <v>63</v>
      </c>
      <c r="J7" s="73" t="s">
        <v>99</v>
      </c>
    </row>
    <row r="8" customFormat="false" ht="15" hidden="false" customHeight="false" outlineLevel="0" collapsed="false">
      <c r="A8" s="74" t="n">
        <v>3</v>
      </c>
      <c r="B8" s="52" t="n">
        <v>713</v>
      </c>
      <c r="C8" s="74" t="n">
        <v>3</v>
      </c>
      <c r="D8" s="52" t="n">
        <v>195</v>
      </c>
      <c r="E8" s="74" t="n">
        <v>3</v>
      </c>
      <c r="F8" s="52" t="n">
        <v>217</v>
      </c>
      <c r="G8" s="74" t="n">
        <v>3</v>
      </c>
      <c r="H8" s="52" t="n">
        <v>100</v>
      </c>
      <c r="J8" s="73" t="s">
        <v>100</v>
      </c>
    </row>
    <row r="9" customFormat="false" ht="15" hidden="false" customHeight="false" outlineLevel="0" collapsed="false">
      <c r="A9" s="72" t="n">
        <v>4</v>
      </c>
      <c r="B9" s="46" t="n">
        <v>791</v>
      </c>
      <c r="C9" s="72" t="n">
        <v>4</v>
      </c>
      <c r="D9" s="46" t="n">
        <v>265</v>
      </c>
      <c r="E9" s="72" t="n">
        <v>4</v>
      </c>
      <c r="F9" s="46" t="n">
        <v>286</v>
      </c>
      <c r="G9" s="72" t="n">
        <v>4</v>
      </c>
      <c r="H9" s="46" t="n">
        <v>142</v>
      </c>
    </row>
    <row r="10" customFormat="false" ht="15" hidden="false" customHeight="false" outlineLevel="0" collapsed="false">
      <c r="A10" s="74" t="n">
        <v>5</v>
      </c>
      <c r="B10" s="52" t="n">
        <v>874</v>
      </c>
      <c r="C10" s="74" t="n">
        <v>5</v>
      </c>
      <c r="D10" s="52" t="n">
        <v>338</v>
      </c>
      <c r="E10" s="74" t="n">
        <v>5</v>
      </c>
      <c r="F10" s="52" t="n">
        <v>358</v>
      </c>
      <c r="G10" s="74" t="n">
        <v>5</v>
      </c>
      <c r="H10" s="52" t="n">
        <v>188</v>
      </c>
    </row>
    <row r="11" customFormat="false" ht="15" hidden="false" customHeight="false" outlineLevel="0" collapsed="false">
      <c r="A11" s="72" t="n">
        <v>6</v>
      </c>
      <c r="B11" s="46" t="n">
        <v>959</v>
      </c>
      <c r="C11" s="72" t="n">
        <v>6</v>
      </c>
      <c r="D11" s="46" t="n">
        <v>417</v>
      </c>
      <c r="E11" s="72" t="n">
        <v>6</v>
      </c>
      <c r="F11" s="46" t="n">
        <v>434</v>
      </c>
      <c r="G11" s="72" t="n">
        <v>6</v>
      </c>
      <c r="H11" s="46" t="n">
        <v>239</v>
      </c>
    </row>
    <row r="12" customFormat="false" ht="15" hidden="false" customHeight="false" outlineLevel="0" collapsed="false">
      <c r="A12" s="74" t="n">
        <v>7</v>
      </c>
      <c r="B12" s="52" t="n">
        <v>1046</v>
      </c>
      <c r="C12" s="74" t="n">
        <v>7</v>
      </c>
      <c r="D12" s="52" t="n">
        <v>503</v>
      </c>
      <c r="E12" s="74" t="n">
        <v>7</v>
      </c>
      <c r="F12" s="52" t="n">
        <v>513</v>
      </c>
      <c r="G12" s="74" t="n">
        <v>7</v>
      </c>
      <c r="H12" s="52" t="n">
        <v>293</v>
      </c>
    </row>
    <row r="13" customFormat="false" ht="15" hidden="false" customHeight="false" outlineLevel="0" collapsed="false">
      <c r="A13" s="72" t="n">
        <v>8</v>
      </c>
      <c r="B13" s="46" t="n">
        <v>1138</v>
      </c>
      <c r="C13" s="72" t="n">
        <v>8</v>
      </c>
      <c r="D13" s="46" t="n">
        <v>592</v>
      </c>
      <c r="E13" s="72" t="n">
        <v>8</v>
      </c>
      <c r="F13" s="46" t="n">
        <v>595</v>
      </c>
      <c r="G13" s="72" t="n">
        <v>8</v>
      </c>
      <c r="H13" s="46" t="n">
        <v>352</v>
      </c>
    </row>
    <row r="14" customFormat="false" ht="15" hidden="false" customHeight="false" outlineLevel="0" collapsed="false">
      <c r="A14" s="74" t="n">
        <v>9</v>
      </c>
      <c r="B14" s="52" t="n">
        <v>1232</v>
      </c>
      <c r="C14" s="74" t="n">
        <v>9</v>
      </c>
      <c r="D14" s="52" t="n">
        <v>688</v>
      </c>
      <c r="E14" s="74" t="n">
        <v>9</v>
      </c>
      <c r="F14" s="52" t="n">
        <v>681</v>
      </c>
      <c r="G14" s="74" t="n">
        <v>9</v>
      </c>
      <c r="H14" s="52" t="n">
        <v>416</v>
      </c>
    </row>
    <row r="15" customFormat="false" ht="15" hidden="false" customHeight="false" outlineLevel="0" collapsed="false">
      <c r="A15" s="72" t="n">
        <v>10</v>
      </c>
      <c r="B15" s="46" t="n">
        <v>1329</v>
      </c>
      <c r="C15" s="72" t="n">
        <v>10</v>
      </c>
      <c r="D15" s="46" t="n">
        <v>789</v>
      </c>
      <c r="E15" s="72" t="n">
        <v>10</v>
      </c>
      <c r="F15" s="46" t="n">
        <v>771</v>
      </c>
      <c r="G15" s="72" t="n">
        <v>10</v>
      </c>
      <c r="H15" s="46" t="n">
        <v>484</v>
      </c>
    </row>
    <row r="16" customFormat="false" ht="15" hidden="false" customHeight="false" outlineLevel="0" collapsed="false">
      <c r="A16" s="74" t="n">
        <v>11</v>
      </c>
      <c r="B16" s="52" t="n">
        <v>1429</v>
      </c>
      <c r="C16" s="74" t="n">
        <v>11</v>
      </c>
      <c r="D16" s="52" t="n">
        <v>895</v>
      </c>
      <c r="E16" s="74" t="n">
        <v>11</v>
      </c>
      <c r="F16" s="52" t="n">
        <v>863</v>
      </c>
      <c r="G16" s="74" t="n">
        <v>11</v>
      </c>
      <c r="H16" s="52" t="n">
        <v>555</v>
      </c>
    </row>
    <row r="17" customFormat="false" ht="15" hidden="false" customHeight="false" outlineLevel="0" collapsed="false">
      <c r="A17" s="72" t="n">
        <v>12</v>
      </c>
      <c r="B17" s="46" t="n">
        <v>1532</v>
      </c>
      <c r="C17" s="72" t="n">
        <v>12</v>
      </c>
      <c r="D17" s="46" t="n">
        <v>1007</v>
      </c>
      <c r="E17" s="72" t="n">
        <v>12</v>
      </c>
      <c r="F17" s="46" t="n">
        <v>959</v>
      </c>
      <c r="G17" s="72" t="n">
        <v>12</v>
      </c>
      <c r="H17" s="46" t="n">
        <v>632</v>
      </c>
    </row>
    <row r="18" customFormat="false" ht="15" hidden="false" customHeight="false" outlineLevel="0" collapsed="false">
      <c r="A18" s="74" t="n">
        <v>13</v>
      </c>
      <c r="B18" s="52" t="n">
        <v>1647</v>
      </c>
      <c r="C18" s="74" t="n">
        <v>13</v>
      </c>
      <c r="D18" s="52" t="n">
        <v>1113</v>
      </c>
      <c r="E18" s="74" t="n">
        <v>13</v>
      </c>
      <c r="F18" s="52" t="n">
        <v>1037</v>
      </c>
      <c r="G18" s="74" t="n">
        <v>13</v>
      </c>
      <c r="H18" s="52" t="n">
        <v>695</v>
      </c>
    </row>
    <row r="19" customFormat="false" ht="15" hidden="false" customHeight="false" outlineLevel="0" collapsed="false">
      <c r="A19" s="72" t="n">
        <v>14</v>
      </c>
      <c r="B19" s="46" t="n">
        <v>1762</v>
      </c>
      <c r="C19" s="72" t="n">
        <v>14</v>
      </c>
      <c r="D19" s="46" t="n">
        <v>1218</v>
      </c>
      <c r="E19" s="72" t="n">
        <v>14</v>
      </c>
      <c r="F19" s="46" t="n">
        <v>1116</v>
      </c>
      <c r="G19" s="72" t="n">
        <v>14</v>
      </c>
      <c r="H19" s="46" t="n">
        <v>760</v>
      </c>
    </row>
    <row r="20" customFormat="false" ht="15" hidden="false" customHeight="false" outlineLevel="0" collapsed="false">
      <c r="A20" s="74" t="n">
        <v>15</v>
      </c>
      <c r="B20" s="52" t="n">
        <v>1878</v>
      </c>
      <c r="C20" s="74" t="n">
        <v>15</v>
      </c>
      <c r="D20" s="52" t="n">
        <v>1323</v>
      </c>
      <c r="E20" s="74" t="n">
        <v>15</v>
      </c>
      <c r="F20" s="52" t="n">
        <v>1194</v>
      </c>
      <c r="G20" s="74" t="n">
        <v>15</v>
      </c>
      <c r="H20" s="52" t="n">
        <v>826</v>
      </c>
    </row>
    <row r="21" customFormat="false" ht="15" hidden="false" customHeight="false" outlineLevel="0" collapsed="false">
      <c r="A21" s="72" t="n">
        <v>16</v>
      </c>
      <c r="B21" s="46" t="n">
        <v>1993</v>
      </c>
      <c r="C21" s="72" t="n">
        <v>16</v>
      </c>
      <c r="D21" s="46" t="n">
        <v>1429</v>
      </c>
      <c r="E21" s="72" t="n">
        <v>16</v>
      </c>
      <c r="F21" s="46" t="n">
        <v>1272</v>
      </c>
      <c r="G21" s="72" t="n">
        <v>16</v>
      </c>
      <c r="H21" s="46" t="n">
        <v>893</v>
      </c>
    </row>
    <row r="22" customFormat="false" ht="15" hidden="false" customHeight="false" outlineLevel="0" collapsed="false">
      <c r="A22" s="74" t="n">
        <v>17</v>
      </c>
      <c r="B22" s="52" t="n">
        <v>2109</v>
      </c>
      <c r="C22" s="74" t="n">
        <v>17</v>
      </c>
      <c r="D22" s="52" t="n">
        <v>1535</v>
      </c>
      <c r="E22" s="74" t="n">
        <v>17</v>
      </c>
      <c r="F22" s="52" t="n">
        <v>1350</v>
      </c>
      <c r="G22" s="74" t="n">
        <v>17</v>
      </c>
      <c r="H22" s="52" t="n">
        <v>961</v>
      </c>
    </row>
    <row r="23" customFormat="false" ht="15" hidden="false" customHeight="false" outlineLevel="0" collapsed="false">
      <c r="A23" s="72" t="n">
        <v>18</v>
      </c>
      <c r="B23" s="46" t="n">
        <v>2225</v>
      </c>
      <c r="C23" s="72" t="n">
        <v>18</v>
      </c>
      <c r="D23" s="46" t="n">
        <v>1640</v>
      </c>
      <c r="E23" s="72" t="n">
        <v>18</v>
      </c>
      <c r="F23" s="46" t="n">
        <v>1429</v>
      </c>
      <c r="G23" s="72" t="n">
        <v>18</v>
      </c>
      <c r="H23" s="46" t="n">
        <v>1030</v>
      </c>
    </row>
    <row r="24" customFormat="false" ht="15" hidden="false" customHeight="false" outlineLevel="0" collapsed="false">
      <c r="A24" s="74" t="n">
        <v>19</v>
      </c>
      <c r="B24" s="52" t="n">
        <v>2340</v>
      </c>
      <c r="C24" s="74" t="n">
        <v>19</v>
      </c>
      <c r="D24" s="52" t="n">
        <v>1745</v>
      </c>
      <c r="E24" s="74" t="n">
        <v>19</v>
      </c>
      <c r="F24" s="52" t="n">
        <v>1507</v>
      </c>
      <c r="G24" s="74" t="n">
        <v>19</v>
      </c>
      <c r="H24" s="52" t="n">
        <v>1101</v>
      </c>
    </row>
    <row r="25" customFormat="false" ht="15" hidden="false" customHeight="false" outlineLevel="0" collapsed="false">
      <c r="A25" s="72" t="n">
        <v>20</v>
      </c>
      <c r="B25" s="46" t="n">
        <v>2455</v>
      </c>
      <c r="C25" s="72" t="n">
        <v>20</v>
      </c>
      <c r="D25" s="46" t="n">
        <v>1851</v>
      </c>
      <c r="E25" s="72" t="n">
        <v>20</v>
      </c>
      <c r="F25" s="46" t="n">
        <v>1585</v>
      </c>
      <c r="G25" s="72" t="n">
        <v>20</v>
      </c>
      <c r="H25" s="46" t="n">
        <v>1173</v>
      </c>
    </row>
    <row r="26" customFormat="false" ht="15" hidden="false" customHeight="false" outlineLevel="0" collapsed="false">
      <c r="A26" s="74" t="n">
        <v>21</v>
      </c>
      <c r="B26" s="52" t="n">
        <v>2570</v>
      </c>
      <c r="C26" s="74" t="n">
        <v>21</v>
      </c>
      <c r="D26" s="52" t="n">
        <v>1956</v>
      </c>
      <c r="E26" s="74" t="n">
        <v>21</v>
      </c>
      <c r="F26" s="52" t="n">
        <v>1663</v>
      </c>
      <c r="G26" s="74" t="n">
        <v>21</v>
      </c>
      <c r="H26" s="52" t="n">
        <v>1247</v>
      </c>
    </row>
    <row r="27" customFormat="false" ht="15" hidden="false" customHeight="false" outlineLevel="0" collapsed="false">
      <c r="A27" s="72" t="n">
        <v>22</v>
      </c>
      <c r="B27" s="46" t="n">
        <v>2686</v>
      </c>
      <c r="C27" s="72" t="n">
        <v>22</v>
      </c>
      <c r="D27" s="46" t="n">
        <v>2062</v>
      </c>
      <c r="E27" s="72" t="n">
        <v>22</v>
      </c>
      <c r="F27" s="46" t="n">
        <v>1742</v>
      </c>
      <c r="G27" s="72" t="n">
        <v>22</v>
      </c>
      <c r="H27" s="46" t="n">
        <v>1321</v>
      </c>
    </row>
    <row r="28" customFormat="false" ht="15" hidden="false" customHeight="false" outlineLevel="0" collapsed="false">
      <c r="A28" s="74" t="n">
        <v>23</v>
      </c>
      <c r="B28" s="52" t="n">
        <v>2802</v>
      </c>
      <c r="C28" s="74" t="n">
        <v>23</v>
      </c>
      <c r="D28" s="52" t="n">
        <v>2168</v>
      </c>
      <c r="E28" s="74" t="n">
        <v>23</v>
      </c>
      <c r="F28" s="52" t="n">
        <v>1820</v>
      </c>
      <c r="G28" s="74" t="n">
        <v>23</v>
      </c>
      <c r="H28" s="52" t="n">
        <v>1396</v>
      </c>
    </row>
    <row r="29" customFormat="false" ht="15" hidden="false" customHeight="false" outlineLevel="0" collapsed="false">
      <c r="A29" s="72" t="n">
        <v>24</v>
      </c>
      <c r="B29" s="46" t="n">
        <v>2917</v>
      </c>
      <c r="C29" s="72" t="n">
        <v>24</v>
      </c>
      <c r="D29" s="46" t="n">
        <v>2273</v>
      </c>
      <c r="E29" s="72" t="n">
        <v>24</v>
      </c>
      <c r="F29" s="46" t="n">
        <v>1898</v>
      </c>
      <c r="G29" s="72" t="n">
        <v>24</v>
      </c>
      <c r="H29" s="46" t="n">
        <v>1472</v>
      </c>
    </row>
    <row r="30" customFormat="false" ht="15" hidden="false" customHeight="false" outlineLevel="0" collapsed="false">
      <c r="A30" s="74" t="n">
        <v>25</v>
      </c>
      <c r="B30" s="52" t="n">
        <v>3055</v>
      </c>
      <c r="C30" s="74" t="n">
        <v>25</v>
      </c>
      <c r="D30" s="52" t="n">
        <v>2378</v>
      </c>
      <c r="E30" s="74" t="n">
        <v>25</v>
      </c>
      <c r="F30" s="52" t="n">
        <v>1985</v>
      </c>
      <c r="G30" s="74" t="n">
        <v>25</v>
      </c>
      <c r="H30" s="52" t="n">
        <v>1551</v>
      </c>
    </row>
    <row r="31" customFormat="false" ht="15" hidden="false" customHeight="false" outlineLevel="0" collapsed="false">
      <c r="A31" s="72" t="n">
        <v>26</v>
      </c>
      <c r="B31" s="46" t="n">
        <v>3193</v>
      </c>
      <c r="C31" s="72" t="n">
        <v>26</v>
      </c>
      <c r="D31" s="46" t="n">
        <v>2483</v>
      </c>
      <c r="E31" s="72" t="n">
        <v>26</v>
      </c>
      <c r="F31" s="46" t="n">
        <v>2072</v>
      </c>
      <c r="G31" s="72" t="n">
        <v>26</v>
      </c>
      <c r="H31" s="46" t="n">
        <v>1630</v>
      </c>
    </row>
    <row r="32" customFormat="false" ht="15" hidden="false" customHeight="false" outlineLevel="0" collapsed="false">
      <c r="A32" s="74" t="n">
        <v>27</v>
      </c>
      <c r="B32" s="52" t="n">
        <v>3332</v>
      </c>
      <c r="C32" s="74" t="n">
        <v>27</v>
      </c>
      <c r="D32" s="52" t="n">
        <v>2588</v>
      </c>
      <c r="E32" s="74" t="n">
        <v>27</v>
      </c>
      <c r="F32" s="52" t="n">
        <v>2159</v>
      </c>
      <c r="G32" s="74" t="n">
        <v>27</v>
      </c>
      <c r="H32" s="52" t="n">
        <v>1709</v>
      </c>
    </row>
    <row r="33" customFormat="false" ht="15" hidden="false" customHeight="false" outlineLevel="0" collapsed="false">
      <c r="A33" s="72" t="n">
        <v>28</v>
      </c>
      <c r="B33" s="46" t="n">
        <v>3470</v>
      </c>
      <c r="C33" s="72" t="n">
        <v>28</v>
      </c>
      <c r="D33" s="46" t="n">
        <v>2693</v>
      </c>
      <c r="E33" s="72" t="n">
        <v>28</v>
      </c>
      <c r="F33" s="46" t="n">
        <v>2246</v>
      </c>
      <c r="G33" s="72" t="n">
        <v>28</v>
      </c>
      <c r="H33" s="46" t="n">
        <v>1788</v>
      </c>
    </row>
    <row r="34" customFormat="false" ht="15" hidden="false" customHeight="false" outlineLevel="0" collapsed="false">
      <c r="A34" s="74" t="n">
        <v>29</v>
      </c>
      <c r="B34" s="52" t="n">
        <v>3610</v>
      </c>
      <c r="C34" s="74" t="n">
        <v>29</v>
      </c>
      <c r="D34" s="52" t="n">
        <v>2798</v>
      </c>
      <c r="E34" s="74" t="n">
        <v>29</v>
      </c>
      <c r="F34" s="52" t="n">
        <v>2333</v>
      </c>
      <c r="G34" s="74" t="n">
        <v>29</v>
      </c>
      <c r="H34" s="52" t="n">
        <v>1867</v>
      </c>
    </row>
    <row r="35" customFormat="false" ht="15" hidden="false" customHeight="false" outlineLevel="0" collapsed="false">
      <c r="A35" s="72" t="n">
        <v>30</v>
      </c>
      <c r="B35" s="46" t="n">
        <v>3748</v>
      </c>
      <c r="C35" s="72" t="n">
        <v>30</v>
      </c>
      <c r="D35" s="46" t="n">
        <v>2903</v>
      </c>
      <c r="E35" s="72" t="n">
        <v>30</v>
      </c>
      <c r="F35" s="46" t="n">
        <v>2420</v>
      </c>
      <c r="G35" s="72" t="n">
        <v>30</v>
      </c>
      <c r="H35" s="46" t="n">
        <v>1946</v>
      </c>
    </row>
    <row r="36" customFormat="false" ht="15" hidden="false" customHeight="false" outlineLevel="0" collapsed="false">
      <c r="A36" s="74" t="n">
        <v>31</v>
      </c>
      <c r="B36" s="52" t="n">
        <v>3885</v>
      </c>
      <c r="C36" s="74" t="n">
        <v>31</v>
      </c>
      <c r="D36" s="52" t="n">
        <v>3008</v>
      </c>
      <c r="E36" s="74" t="n">
        <v>31</v>
      </c>
      <c r="F36" s="52" t="n">
        <v>2508</v>
      </c>
      <c r="G36" s="74" t="n">
        <v>31</v>
      </c>
      <c r="H36" s="52" t="n">
        <v>2025</v>
      </c>
    </row>
    <row r="37" customFormat="false" ht="15" hidden="false" customHeight="false" outlineLevel="0" collapsed="false">
      <c r="A37" s="72" t="n">
        <v>32</v>
      </c>
      <c r="B37" s="46" t="n">
        <v>4024</v>
      </c>
      <c r="C37" s="72" t="n">
        <v>32</v>
      </c>
      <c r="D37" s="46" t="n">
        <v>3113</v>
      </c>
      <c r="E37" s="72" t="n">
        <v>32</v>
      </c>
      <c r="F37" s="46" t="n">
        <v>2595</v>
      </c>
      <c r="G37" s="72" t="n">
        <v>32</v>
      </c>
      <c r="H37" s="46" t="n">
        <v>2105</v>
      </c>
    </row>
    <row r="38" customFormat="false" ht="15" hidden="false" customHeight="false" outlineLevel="0" collapsed="false">
      <c r="A38" s="74" t="n">
        <v>33</v>
      </c>
      <c r="B38" s="52" t="n">
        <v>4162</v>
      </c>
      <c r="C38" s="74" t="n">
        <v>33</v>
      </c>
      <c r="D38" s="52" t="n">
        <v>3218</v>
      </c>
      <c r="E38" s="74" t="n">
        <v>33</v>
      </c>
      <c r="F38" s="52" t="n">
        <v>2682</v>
      </c>
      <c r="G38" s="74" t="n">
        <v>33</v>
      </c>
      <c r="H38" s="52" t="n">
        <v>2184</v>
      </c>
    </row>
    <row r="39" customFormat="false" ht="15" hidden="false" customHeight="false" outlineLevel="0" collapsed="false">
      <c r="A39" s="72" t="n">
        <v>34</v>
      </c>
      <c r="B39" s="46" t="n">
        <v>4301</v>
      </c>
      <c r="C39" s="72" t="n">
        <v>34</v>
      </c>
      <c r="D39" s="46" t="n">
        <v>3323</v>
      </c>
      <c r="E39" s="72" t="n">
        <v>34</v>
      </c>
      <c r="F39" s="46" t="n">
        <v>2769</v>
      </c>
      <c r="G39" s="72" t="n">
        <v>34</v>
      </c>
      <c r="H39" s="46" t="n">
        <v>2262</v>
      </c>
    </row>
    <row r="40" customFormat="false" ht="15" hidden="false" customHeight="false" outlineLevel="0" collapsed="false">
      <c r="A40" s="74" t="n">
        <v>35</v>
      </c>
      <c r="B40" s="52" t="n">
        <v>4440</v>
      </c>
      <c r="C40" s="74" t="n">
        <v>35</v>
      </c>
      <c r="D40" s="52" t="n">
        <v>3428</v>
      </c>
      <c r="E40" s="74" t="n">
        <v>35</v>
      </c>
      <c r="F40" s="52" t="n">
        <v>2856</v>
      </c>
      <c r="G40" s="74" t="n">
        <v>35</v>
      </c>
      <c r="H40" s="52" t="n">
        <v>2342</v>
      </c>
    </row>
    <row r="41" customFormat="false" ht="15" hidden="false" customHeight="false" outlineLevel="0" collapsed="false">
      <c r="A41" s="72" t="n">
        <v>36</v>
      </c>
      <c r="B41" s="46" t="n">
        <v>4578</v>
      </c>
      <c r="C41" s="72" t="n">
        <v>36</v>
      </c>
      <c r="D41" s="46" t="n">
        <v>3533</v>
      </c>
      <c r="E41" s="72" t="n">
        <v>36</v>
      </c>
      <c r="F41" s="46" t="n">
        <v>2943</v>
      </c>
      <c r="G41" s="72" t="n">
        <v>36</v>
      </c>
      <c r="H41" s="46" t="n">
        <v>2421</v>
      </c>
    </row>
    <row r="42" customFormat="false" ht="15" hidden="false" customHeight="false" outlineLevel="0" collapsed="false">
      <c r="A42" s="74" t="n">
        <v>37</v>
      </c>
      <c r="B42" s="52" t="n">
        <v>4727</v>
      </c>
      <c r="C42" s="74" t="n">
        <v>37</v>
      </c>
      <c r="D42" s="52" t="n">
        <v>3657</v>
      </c>
      <c r="E42" s="74" t="n">
        <v>37</v>
      </c>
      <c r="F42" s="52" t="n">
        <v>3024</v>
      </c>
      <c r="G42" s="74" t="n">
        <v>37</v>
      </c>
      <c r="H42" s="52" t="n">
        <v>2503</v>
      </c>
    </row>
    <row r="43" customFormat="false" ht="15" hidden="false" customHeight="false" outlineLevel="0" collapsed="false">
      <c r="A43" s="72" t="n">
        <v>38</v>
      </c>
      <c r="B43" s="46" t="n">
        <v>4875</v>
      </c>
      <c r="C43" s="72" t="n">
        <v>38</v>
      </c>
      <c r="D43" s="46" t="n">
        <v>3782</v>
      </c>
      <c r="E43" s="72" t="n">
        <v>38</v>
      </c>
      <c r="F43" s="46" t="n">
        <v>3106</v>
      </c>
      <c r="G43" s="72" t="n">
        <v>38</v>
      </c>
      <c r="H43" s="46" t="n">
        <v>2585</v>
      </c>
    </row>
    <row r="44" customFormat="false" ht="15" hidden="false" customHeight="false" outlineLevel="0" collapsed="false">
      <c r="A44" s="74" t="n">
        <v>39</v>
      </c>
      <c r="B44" s="52" t="n">
        <v>5023</v>
      </c>
      <c r="C44" s="74" t="n">
        <v>39</v>
      </c>
      <c r="D44" s="52" t="n">
        <v>3906</v>
      </c>
      <c r="E44" s="74" t="n">
        <v>39</v>
      </c>
      <c r="F44" s="52" t="n">
        <v>3187</v>
      </c>
      <c r="G44" s="74" t="n">
        <v>39</v>
      </c>
      <c r="H44" s="52" t="n">
        <v>2668</v>
      </c>
    </row>
    <row r="45" customFormat="false" ht="15" hidden="false" customHeight="false" outlineLevel="0" collapsed="false">
      <c r="A45" s="72" t="n">
        <v>40</v>
      </c>
      <c r="B45" s="46" t="n">
        <v>5172</v>
      </c>
      <c r="C45" s="75" t="n">
        <v>40</v>
      </c>
      <c r="D45" s="76" t="n">
        <v>4031</v>
      </c>
      <c r="E45" s="75" t="n">
        <v>40</v>
      </c>
      <c r="F45" s="76" t="n">
        <v>3269</v>
      </c>
      <c r="G45" s="72" t="n">
        <v>40</v>
      </c>
      <c r="H45" s="46" t="n">
        <v>2750</v>
      </c>
    </row>
    <row r="46" customFormat="false" ht="15" hidden="false" customHeight="false" outlineLevel="0" collapsed="false">
      <c r="A46" s="74" t="n">
        <v>41</v>
      </c>
      <c r="B46" s="52" t="n">
        <v>5320</v>
      </c>
      <c r="C46" s="74" t="n">
        <v>41</v>
      </c>
      <c r="D46" s="52" t="n">
        <v>4156</v>
      </c>
      <c r="E46" s="74" t="n">
        <v>41</v>
      </c>
      <c r="F46" s="52" t="n">
        <v>3350</v>
      </c>
      <c r="G46" s="74" t="n">
        <v>41</v>
      </c>
      <c r="H46" s="52" t="n">
        <v>2833</v>
      </c>
    </row>
    <row r="47" customFormat="false" ht="15" hidden="false" customHeight="false" outlineLevel="0" collapsed="false">
      <c r="A47" s="72" t="n">
        <v>42</v>
      </c>
      <c r="B47" s="46" t="n">
        <v>5469</v>
      </c>
      <c r="C47" s="72" t="n">
        <v>42</v>
      </c>
      <c r="D47" s="46" t="n">
        <v>4280</v>
      </c>
      <c r="E47" s="72" t="n">
        <v>42</v>
      </c>
      <c r="F47" s="46" t="n">
        <v>3431</v>
      </c>
      <c r="G47" s="72" t="n">
        <v>42</v>
      </c>
      <c r="H47" s="46" t="n">
        <v>2915</v>
      </c>
    </row>
    <row r="48" customFormat="false" ht="15" hidden="false" customHeight="false" outlineLevel="0" collapsed="false">
      <c r="A48" s="74" t="n">
        <v>43</v>
      </c>
      <c r="B48" s="52" t="n">
        <v>5617</v>
      </c>
      <c r="C48" s="74" t="n">
        <v>43</v>
      </c>
      <c r="D48" s="52" t="n">
        <v>4405</v>
      </c>
      <c r="E48" s="74" t="n">
        <v>43</v>
      </c>
      <c r="F48" s="52" t="n">
        <v>3513</v>
      </c>
      <c r="G48" s="74" t="n">
        <v>43</v>
      </c>
      <c r="H48" s="52" t="n">
        <v>2998</v>
      </c>
    </row>
    <row r="49" customFormat="false" ht="15" hidden="false" customHeight="false" outlineLevel="0" collapsed="false">
      <c r="A49" s="72" t="n">
        <v>44</v>
      </c>
      <c r="B49" s="46" t="n">
        <v>5766</v>
      </c>
      <c r="C49" s="72" t="n">
        <v>44</v>
      </c>
      <c r="D49" s="46" t="n">
        <v>4529</v>
      </c>
      <c r="E49" s="72" t="n">
        <v>44</v>
      </c>
      <c r="F49" s="46" t="n">
        <v>3594</v>
      </c>
      <c r="G49" s="72" t="n">
        <v>44</v>
      </c>
      <c r="H49" s="46" t="n">
        <v>3080</v>
      </c>
    </row>
    <row r="50" customFormat="false" ht="15" hidden="false" customHeight="false" outlineLevel="0" collapsed="false">
      <c r="A50" s="74" t="n">
        <v>45</v>
      </c>
      <c r="B50" s="52" t="n">
        <v>5914</v>
      </c>
      <c r="C50" s="74" t="n">
        <v>45</v>
      </c>
      <c r="D50" s="52" t="n">
        <v>4653</v>
      </c>
      <c r="E50" s="74" t="n">
        <v>45</v>
      </c>
      <c r="F50" s="52" t="n">
        <v>3676</v>
      </c>
      <c r="G50" s="74" t="n">
        <v>45</v>
      </c>
      <c r="H50" s="52" t="n">
        <v>3163</v>
      </c>
    </row>
    <row r="51" customFormat="false" ht="15" hidden="false" customHeight="false" outlineLevel="0" collapsed="false">
      <c r="A51" s="72" t="n">
        <v>46</v>
      </c>
      <c r="B51" s="46" t="n">
        <v>6063</v>
      </c>
      <c r="C51" s="72" t="n">
        <v>46</v>
      </c>
      <c r="D51" s="46" t="n">
        <v>4778</v>
      </c>
      <c r="E51" s="72" t="n">
        <v>46</v>
      </c>
      <c r="F51" s="46" t="n">
        <v>3757</v>
      </c>
      <c r="G51" s="72" t="n">
        <v>46</v>
      </c>
      <c r="H51" s="46" t="n">
        <v>3245</v>
      </c>
    </row>
    <row r="52" customFormat="false" ht="15" hidden="false" customHeight="false" outlineLevel="0" collapsed="false">
      <c r="A52" s="74" t="n">
        <v>47</v>
      </c>
      <c r="B52" s="52" t="n">
        <v>6212</v>
      </c>
      <c r="C52" s="74" t="n">
        <v>47</v>
      </c>
      <c r="D52" s="52" t="n">
        <v>4902</v>
      </c>
      <c r="E52" s="74" t="n">
        <v>47</v>
      </c>
      <c r="F52" s="52" t="n">
        <v>3839</v>
      </c>
      <c r="G52" s="74" t="n">
        <v>47</v>
      </c>
      <c r="H52" s="52" t="n">
        <v>3328</v>
      </c>
    </row>
    <row r="53" customFormat="false" ht="15" hidden="false" customHeight="false" outlineLevel="0" collapsed="false">
      <c r="A53" s="72" t="n">
        <v>48</v>
      </c>
      <c r="B53" s="46" t="n">
        <v>6360</v>
      </c>
      <c r="C53" s="72" t="n">
        <v>48</v>
      </c>
      <c r="D53" s="46" t="n">
        <v>5027</v>
      </c>
      <c r="E53" s="72" t="n">
        <v>48</v>
      </c>
      <c r="F53" s="46" t="n">
        <v>3920</v>
      </c>
      <c r="G53" s="72" t="n">
        <v>48</v>
      </c>
      <c r="H53" s="46" t="n">
        <v>3410</v>
      </c>
    </row>
    <row r="54" customFormat="false" ht="15" hidden="false" customHeight="false" outlineLevel="0" collapsed="false">
      <c r="A54" s="74" t="n">
        <v>49</v>
      </c>
      <c r="B54" s="52" t="n">
        <v>6516</v>
      </c>
      <c r="C54" s="74" t="n">
        <v>49</v>
      </c>
      <c r="D54" s="52" t="n">
        <v>5136</v>
      </c>
      <c r="E54" s="74" t="n">
        <v>49</v>
      </c>
      <c r="F54" s="52" t="n">
        <v>4002</v>
      </c>
      <c r="G54" s="74" t="n">
        <v>49</v>
      </c>
      <c r="H54" s="52" t="n">
        <v>3493</v>
      </c>
    </row>
    <row r="55" customFormat="false" ht="15" hidden="false" customHeight="false" outlineLevel="0" collapsed="false">
      <c r="A55" s="72" t="n">
        <v>50</v>
      </c>
      <c r="B55" s="46" t="n">
        <v>6672</v>
      </c>
      <c r="C55" s="72" t="n">
        <v>50</v>
      </c>
      <c r="D55" s="46" t="n">
        <v>5245</v>
      </c>
      <c r="E55" s="72" t="n">
        <v>50</v>
      </c>
      <c r="F55" s="46" t="n">
        <v>4082</v>
      </c>
      <c r="G55" s="72" t="n">
        <v>50</v>
      </c>
      <c r="H55" s="46" t="n">
        <v>3575</v>
      </c>
    </row>
    <row r="56" customFormat="false" ht="15" hidden="false" customHeight="false" outlineLevel="0" collapsed="false">
      <c r="A56" s="74" t="n">
        <v>51</v>
      </c>
      <c r="B56" s="52" t="n">
        <v>6828</v>
      </c>
      <c r="C56" s="74" t="n">
        <v>51</v>
      </c>
      <c r="D56" s="52" t="n">
        <v>5355</v>
      </c>
      <c r="E56" s="74" t="n">
        <v>51</v>
      </c>
      <c r="F56" s="52" t="n">
        <v>4165</v>
      </c>
      <c r="G56" s="74" t="n">
        <v>51</v>
      </c>
      <c r="H56" s="52" t="n">
        <v>3658</v>
      </c>
    </row>
    <row r="57" customFormat="false" ht="15" hidden="false" customHeight="false" outlineLevel="0" collapsed="false">
      <c r="A57" s="72" t="n">
        <v>52</v>
      </c>
      <c r="B57" s="46" t="n">
        <v>6984</v>
      </c>
      <c r="C57" s="72" t="n">
        <v>52</v>
      </c>
      <c r="D57" s="46" t="n">
        <v>5464</v>
      </c>
      <c r="E57" s="72" t="n">
        <v>52</v>
      </c>
      <c r="F57" s="46" t="n">
        <v>4246</v>
      </c>
      <c r="G57" s="72" t="n">
        <v>52</v>
      </c>
      <c r="H57" s="46" t="n">
        <v>3740</v>
      </c>
    </row>
    <row r="58" customFormat="false" ht="15" hidden="false" customHeight="false" outlineLevel="0" collapsed="false">
      <c r="A58" s="74" t="n">
        <v>53</v>
      </c>
      <c r="B58" s="52" t="n">
        <v>7140</v>
      </c>
      <c r="C58" s="74" t="n">
        <v>53</v>
      </c>
      <c r="D58" s="52" t="n">
        <v>5574</v>
      </c>
      <c r="E58" s="74" t="n">
        <v>53</v>
      </c>
      <c r="F58" s="52" t="n">
        <v>4328</v>
      </c>
      <c r="G58" s="74" t="n">
        <v>53</v>
      </c>
      <c r="H58" s="52" t="n">
        <v>3823</v>
      </c>
    </row>
    <row r="59" customFormat="false" ht="15" hidden="false" customHeight="false" outlineLevel="0" collapsed="false">
      <c r="A59" s="72" t="n">
        <v>54</v>
      </c>
      <c r="B59" s="46" t="n">
        <v>7296</v>
      </c>
      <c r="C59" s="72" t="n">
        <v>54</v>
      </c>
      <c r="D59" s="46" t="n">
        <v>5683</v>
      </c>
      <c r="E59" s="72" t="n">
        <v>54</v>
      </c>
      <c r="F59" s="46" t="n">
        <v>4409</v>
      </c>
      <c r="G59" s="72" t="n">
        <v>54</v>
      </c>
      <c r="H59" s="46" t="n">
        <v>3906</v>
      </c>
    </row>
    <row r="60" customFormat="false" ht="15" hidden="false" customHeight="false" outlineLevel="0" collapsed="false">
      <c r="A60" s="74" t="n">
        <v>55</v>
      </c>
      <c r="B60" s="52" t="n">
        <v>7452</v>
      </c>
      <c r="C60" s="74" t="n">
        <v>55</v>
      </c>
      <c r="D60" s="52" t="n">
        <v>5792</v>
      </c>
      <c r="E60" s="74" t="n">
        <v>55</v>
      </c>
      <c r="F60" s="52" t="n">
        <v>4490</v>
      </c>
      <c r="G60" s="74" t="n">
        <v>55</v>
      </c>
      <c r="H60" s="52" t="n">
        <v>3989</v>
      </c>
    </row>
    <row r="61" customFormat="false" ht="15" hidden="false" customHeight="false" outlineLevel="0" collapsed="false">
      <c r="A61" s="72" t="n">
        <v>56</v>
      </c>
      <c r="B61" s="46" t="n">
        <v>7608</v>
      </c>
      <c r="C61" s="72" t="n">
        <v>56</v>
      </c>
      <c r="D61" s="46" t="n">
        <v>5901</v>
      </c>
      <c r="E61" s="72" t="n">
        <v>56</v>
      </c>
      <c r="F61" s="46" t="n">
        <v>4572</v>
      </c>
      <c r="G61" s="72" t="n">
        <v>56</v>
      </c>
      <c r="H61" s="46" t="n">
        <v>4071</v>
      </c>
    </row>
    <row r="62" customFormat="false" ht="15" hidden="false" customHeight="false" outlineLevel="0" collapsed="false">
      <c r="A62" s="74" t="n">
        <v>57</v>
      </c>
      <c r="B62" s="52" t="n">
        <v>7764</v>
      </c>
      <c r="C62" s="74" t="n">
        <v>57</v>
      </c>
      <c r="D62" s="52" t="n">
        <v>6011</v>
      </c>
      <c r="E62" s="74" t="n">
        <v>57</v>
      </c>
      <c r="F62" s="52" t="n">
        <v>4654</v>
      </c>
      <c r="G62" s="74" t="n">
        <v>57</v>
      </c>
      <c r="H62" s="52" t="n">
        <v>4154</v>
      </c>
    </row>
    <row r="63" customFormat="false" ht="15" hidden="false" customHeight="false" outlineLevel="0" collapsed="false">
      <c r="A63" s="72" t="n">
        <v>58</v>
      </c>
      <c r="B63" s="46" t="n">
        <v>7920</v>
      </c>
      <c r="C63" s="72" t="n">
        <v>58</v>
      </c>
      <c r="D63" s="46" t="n">
        <v>6120</v>
      </c>
      <c r="E63" s="72" t="n">
        <v>58</v>
      </c>
      <c r="F63" s="46" t="n">
        <v>4735</v>
      </c>
      <c r="G63" s="72" t="n">
        <v>58</v>
      </c>
      <c r="H63" s="46" t="n">
        <v>4237</v>
      </c>
    </row>
    <row r="64" customFormat="false" ht="15" hidden="false" customHeight="false" outlineLevel="0" collapsed="false">
      <c r="A64" s="74" t="n">
        <v>59</v>
      </c>
      <c r="B64" s="52" t="n">
        <v>8077</v>
      </c>
      <c r="C64" s="74" t="n">
        <v>59</v>
      </c>
      <c r="D64" s="52" t="n">
        <v>6230</v>
      </c>
      <c r="E64" s="74" t="n">
        <v>59</v>
      </c>
      <c r="F64" s="52" t="n">
        <v>4817</v>
      </c>
      <c r="G64" s="74" t="n">
        <v>59</v>
      </c>
      <c r="H64" s="52" t="n">
        <v>4319</v>
      </c>
    </row>
    <row r="65" customFormat="false" ht="15" hidden="false" customHeight="false" outlineLevel="0" collapsed="false">
      <c r="A65" s="72" t="n">
        <v>60</v>
      </c>
      <c r="B65" s="46" t="n">
        <v>8233</v>
      </c>
      <c r="C65" s="72" t="n">
        <v>60</v>
      </c>
      <c r="D65" s="46" t="n">
        <v>6339</v>
      </c>
      <c r="E65" s="72" t="n">
        <v>60</v>
      </c>
      <c r="F65" s="46" t="n">
        <v>4898</v>
      </c>
      <c r="G65" s="72" t="n">
        <v>60</v>
      </c>
      <c r="H65" s="46" t="n">
        <v>4402</v>
      </c>
    </row>
    <row r="66" customFormat="false" ht="15" hidden="false" customHeight="false" outlineLevel="0" collapsed="false">
      <c r="A66" s="74" t="n">
        <v>61</v>
      </c>
      <c r="B66" s="52" t="n">
        <v>8390</v>
      </c>
      <c r="C66" s="74" t="n">
        <v>61</v>
      </c>
      <c r="D66" s="52" t="n">
        <v>6446</v>
      </c>
      <c r="E66" s="74" t="n">
        <v>61</v>
      </c>
      <c r="F66" s="52" t="n">
        <v>4979</v>
      </c>
      <c r="G66" s="74" t="n">
        <v>61</v>
      </c>
      <c r="H66" s="52" t="n">
        <v>4485</v>
      </c>
    </row>
    <row r="67" customFormat="false" ht="15" hidden="false" customHeight="false" outlineLevel="0" collapsed="false">
      <c r="A67" s="72" t="n">
        <v>62</v>
      </c>
      <c r="B67" s="46" t="n">
        <v>8547</v>
      </c>
      <c r="C67" s="72" t="n">
        <v>62</v>
      </c>
      <c r="D67" s="46" t="n">
        <v>6554</v>
      </c>
      <c r="E67" s="72" t="n">
        <v>62</v>
      </c>
      <c r="F67" s="46" t="n">
        <v>5060</v>
      </c>
      <c r="G67" s="72" t="n">
        <v>62</v>
      </c>
      <c r="H67" s="46" t="n">
        <v>4569</v>
      </c>
    </row>
    <row r="68" customFormat="false" ht="15" hidden="false" customHeight="false" outlineLevel="0" collapsed="false">
      <c r="A68" s="74" t="n">
        <v>63</v>
      </c>
      <c r="B68" s="52" t="n">
        <v>8705</v>
      </c>
      <c r="C68" s="74" t="n">
        <v>63</v>
      </c>
      <c r="D68" s="52" t="n">
        <v>6661</v>
      </c>
      <c r="E68" s="74" t="n">
        <v>63</v>
      </c>
      <c r="F68" s="52" t="n">
        <v>5142</v>
      </c>
      <c r="G68" s="74" t="n">
        <v>63</v>
      </c>
      <c r="H68" s="52" t="n">
        <v>4652</v>
      </c>
    </row>
    <row r="69" customFormat="false" ht="15" hidden="false" customHeight="false" outlineLevel="0" collapsed="false">
      <c r="A69" s="72" t="n">
        <v>64</v>
      </c>
      <c r="B69" s="46" t="n">
        <v>8862</v>
      </c>
      <c r="C69" s="72" t="n">
        <v>64</v>
      </c>
      <c r="D69" s="46" t="n">
        <v>6768</v>
      </c>
      <c r="E69" s="72" t="n">
        <v>64</v>
      </c>
      <c r="F69" s="46" t="n">
        <v>5223</v>
      </c>
      <c r="G69" s="72" t="n">
        <v>64</v>
      </c>
      <c r="H69" s="46" t="n">
        <v>4735</v>
      </c>
    </row>
    <row r="70" customFormat="false" ht="15" hidden="false" customHeight="false" outlineLevel="0" collapsed="false">
      <c r="A70" s="74" t="n">
        <v>65</v>
      </c>
      <c r="B70" s="52" t="n">
        <v>9020</v>
      </c>
      <c r="C70" s="74" t="n">
        <v>65</v>
      </c>
      <c r="D70" s="52" t="n">
        <v>6876</v>
      </c>
      <c r="E70" s="74" t="n">
        <v>65</v>
      </c>
      <c r="F70" s="52" t="n">
        <v>5305</v>
      </c>
      <c r="G70" s="74" t="n">
        <v>65</v>
      </c>
      <c r="H70" s="52" t="n">
        <v>4819</v>
      </c>
    </row>
    <row r="71" customFormat="false" ht="15" hidden="false" customHeight="false" outlineLevel="0" collapsed="false">
      <c r="A71" s="72" t="n">
        <v>66</v>
      </c>
      <c r="B71" s="46" t="n">
        <v>9177</v>
      </c>
      <c r="C71" s="72" t="n">
        <v>66</v>
      </c>
      <c r="D71" s="46" t="n">
        <v>6984</v>
      </c>
      <c r="E71" s="72" t="n">
        <v>66</v>
      </c>
      <c r="F71" s="46" t="n">
        <v>5386</v>
      </c>
      <c r="G71" s="72" t="n">
        <v>66</v>
      </c>
      <c r="H71" s="46" t="n">
        <v>4902</v>
      </c>
    </row>
    <row r="72" customFormat="false" ht="15" hidden="false" customHeight="false" outlineLevel="0" collapsed="false">
      <c r="A72" s="74" t="n">
        <v>67</v>
      </c>
      <c r="B72" s="52" t="n">
        <v>9334</v>
      </c>
      <c r="C72" s="74" t="n">
        <v>67</v>
      </c>
      <c r="D72" s="52" t="n">
        <v>7090</v>
      </c>
      <c r="E72" s="74" t="n">
        <v>67</v>
      </c>
      <c r="F72" s="52" t="n">
        <v>5468</v>
      </c>
      <c r="G72" s="74" t="n">
        <v>67</v>
      </c>
      <c r="H72" s="52" t="n">
        <v>4985</v>
      </c>
    </row>
    <row r="73" customFormat="false" ht="15" hidden="false" customHeight="false" outlineLevel="0" collapsed="false">
      <c r="A73" s="72" t="n">
        <v>68</v>
      </c>
      <c r="B73" s="46" t="n">
        <v>9491</v>
      </c>
      <c r="C73" s="72" t="n">
        <v>68</v>
      </c>
      <c r="D73" s="46" t="n">
        <v>7198</v>
      </c>
      <c r="E73" s="72" t="n">
        <v>68</v>
      </c>
      <c r="F73" s="46" t="n">
        <v>5549</v>
      </c>
      <c r="G73" s="72" t="n">
        <v>68</v>
      </c>
      <c r="H73" s="46" t="n">
        <v>5069</v>
      </c>
    </row>
    <row r="74" customFormat="false" ht="15" hidden="false" customHeight="false" outlineLevel="0" collapsed="false">
      <c r="A74" s="74" t="n">
        <v>69</v>
      </c>
      <c r="B74" s="52" t="n">
        <v>9648</v>
      </c>
      <c r="C74" s="74" t="n">
        <v>69</v>
      </c>
      <c r="D74" s="52" t="n">
        <v>7305</v>
      </c>
      <c r="E74" s="74" t="n">
        <v>69</v>
      </c>
      <c r="F74" s="52" t="n">
        <v>5630</v>
      </c>
      <c r="G74" s="74" t="n">
        <v>69</v>
      </c>
      <c r="H74" s="52" t="n">
        <v>5152</v>
      </c>
    </row>
    <row r="75" customFormat="false" ht="15" hidden="false" customHeight="false" outlineLevel="0" collapsed="false">
      <c r="A75" s="72" t="n">
        <v>70</v>
      </c>
      <c r="B75" s="46" t="n">
        <v>9806</v>
      </c>
      <c r="C75" s="72" t="n">
        <v>70</v>
      </c>
      <c r="D75" s="46" t="n">
        <v>7413</v>
      </c>
      <c r="E75" s="72" t="n">
        <v>70</v>
      </c>
      <c r="F75" s="46" t="n">
        <v>5712</v>
      </c>
      <c r="G75" s="72" t="n">
        <v>70</v>
      </c>
      <c r="H75" s="46" t="n">
        <v>5235</v>
      </c>
    </row>
    <row r="76" customFormat="false" ht="15" hidden="false" customHeight="false" outlineLevel="0" collapsed="false">
      <c r="A76" s="74" t="n">
        <v>71</v>
      </c>
      <c r="B76" s="52" t="n">
        <v>9964</v>
      </c>
      <c r="C76" s="74" t="n">
        <v>71</v>
      </c>
      <c r="D76" s="52" t="n">
        <v>7520</v>
      </c>
      <c r="E76" s="74" t="n">
        <v>71</v>
      </c>
      <c r="F76" s="52" t="n">
        <v>5793</v>
      </c>
      <c r="G76" s="74" t="n">
        <v>71</v>
      </c>
      <c r="H76" s="52" t="n">
        <v>5319</v>
      </c>
    </row>
    <row r="77" customFormat="false" ht="15" hidden="false" customHeight="false" outlineLevel="0" collapsed="false">
      <c r="A77" s="72" t="n">
        <v>72</v>
      </c>
      <c r="B77" s="46" t="n">
        <v>10121</v>
      </c>
      <c r="C77" s="72" t="n">
        <v>72</v>
      </c>
      <c r="D77" s="46" t="n">
        <v>7628</v>
      </c>
      <c r="E77" s="72" t="n">
        <v>72</v>
      </c>
      <c r="F77" s="46" t="n">
        <v>5875</v>
      </c>
      <c r="G77" s="72" t="n">
        <v>72</v>
      </c>
      <c r="H77" s="46" t="n">
        <v>5402</v>
      </c>
    </row>
    <row r="78" customFormat="false" ht="15" hidden="false" customHeight="false" outlineLevel="0" collapsed="false">
      <c r="A78" s="74" t="n">
        <v>73</v>
      </c>
      <c r="B78" s="52" t="n">
        <v>10278</v>
      </c>
      <c r="C78" s="74" t="n">
        <v>73</v>
      </c>
      <c r="D78" s="52" t="n">
        <v>7737</v>
      </c>
      <c r="E78" s="74" t="n">
        <v>73</v>
      </c>
      <c r="F78" s="52" t="n">
        <v>5957</v>
      </c>
      <c r="G78" s="74" t="n">
        <v>73</v>
      </c>
      <c r="H78" s="52" t="n">
        <v>5485</v>
      </c>
    </row>
    <row r="79" customFormat="false" ht="15" hidden="false" customHeight="false" outlineLevel="0" collapsed="false">
      <c r="A79" s="72" t="n">
        <v>74</v>
      </c>
      <c r="B79" s="46" t="n">
        <v>10435</v>
      </c>
      <c r="C79" s="72" t="n">
        <v>74</v>
      </c>
      <c r="D79" s="46" t="n">
        <v>7845</v>
      </c>
      <c r="E79" s="72" t="n">
        <v>74</v>
      </c>
      <c r="F79" s="46" t="n">
        <v>6038</v>
      </c>
      <c r="G79" s="72" t="n">
        <v>74</v>
      </c>
      <c r="H79" s="46" t="n">
        <v>5569</v>
      </c>
    </row>
    <row r="80" customFormat="false" ht="15" hidden="false" customHeight="false" outlineLevel="0" collapsed="false">
      <c r="A80" s="74" t="n">
        <v>75</v>
      </c>
      <c r="B80" s="52" t="n">
        <v>10592</v>
      </c>
      <c r="C80" s="74" t="n">
        <v>75</v>
      </c>
      <c r="D80" s="52" t="n">
        <v>7954</v>
      </c>
      <c r="E80" s="74" t="n">
        <v>75</v>
      </c>
      <c r="F80" s="52" t="n">
        <v>6120</v>
      </c>
      <c r="G80" s="74" t="n">
        <v>75</v>
      </c>
      <c r="H80" s="52" t="n">
        <v>5652</v>
      </c>
    </row>
    <row r="81" customFormat="false" ht="15" hidden="false" customHeight="false" outlineLevel="0" collapsed="false">
      <c r="A81" s="72" t="n">
        <v>76</v>
      </c>
      <c r="B81" s="46" t="n">
        <v>10748</v>
      </c>
      <c r="C81" s="72" t="n">
        <v>76</v>
      </c>
      <c r="D81" s="46" t="n">
        <v>8063</v>
      </c>
      <c r="E81" s="72" t="n">
        <v>76</v>
      </c>
      <c r="F81" s="46" t="n">
        <v>6201</v>
      </c>
      <c r="G81" s="72" t="n">
        <v>76</v>
      </c>
      <c r="H81" s="46" t="n">
        <v>5735</v>
      </c>
    </row>
    <row r="82" customFormat="false" ht="15" hidden="false" customHeight="false" outlineLevel="0" collapsed="false">
      <c r="A82" s="74" t="n">
        <v>77</v>
      </c>
      <c r="B82" s="52" t="n">
        <v>10905</v>
      </c>
      <c r="C82" s="74" t="n">
        <v>77</v>
      </c>
      <c r="D82" s="52" t="n">
        <v>8171</v>
      </c>
      <c r="E82" s="74" t="n">
        <v>77</v>
      </c>
      <c r="F82" s="52" t="n">
        <v>6282</v>
      </c>
      <c r="G82" s="74" t="n">
        <v>77</v>
      </c>
      <c r="H82" s="52" t="n">
        <v>5819</v>
      </c>
    </row>
    <row r="83" customFormat="false" ht="15" hidden="false" customHeight="false" outlineLevel="0" collapsed="false">
      <c r="A83" s="72" t="n">
        <v>78</v>
      </c>
      <c r="B83" s="46" t="n">
        <v>11062</v>
      </c>
      <c r="C83" s="72" t="n">
        <v>78</v>
      </c>
      <c r="D83" s="46" t="n">
        <v>8280</v>
      </c>
      <c r="E83" s="72" t="n">
        <v>78</v>
      </c>
      <c r="F83" s="46" t="n">
        <v>6364</v>
      </c>
      <c r="G83" s="72" t="n">
        <v>78</v>
      </c>
      <c r="H83" s="46" t="n">
        <v>5902</v>
      </c>
    </row>
    <row r="84" customFormat="false" ht="15" hidden="false" customHeight="false" outlineLevel="0" collapsed="false">
      <c r="A84" s="74" t="n">
        <v>79</v>
      </c>
      <c r="B84" s="52" t="n">
        <v>11219</v>
      </c>
      <c r="C84" s="74" t="n">
        <v>79</v>
      </c>
      <c r="D84" s="52" t="n">
        <v>8388</v>
      </c>
      <c r="E84" s="74" t="n">
        <v>79</v>
      </c>
      <c r="F84" s="52" t="n">
        <v>6445</v>
      </c>
      <c r="G84" s="74" t="n">
        <v>79</v>
      </c>
      <c r="H84" s="52" t="n">
        <v>5985</v>
      </c>
    </row>
    <row r="85" customFormat="false" ht="15" hidden="false" customHeight="false" outlineLevel="0" collapsed="false">
      <c r="A85" s="72" t="n">
        <v>80</v>
      </c>
      <c r="B85" s="46" t="n">
        <v>11376</v>
      </c>
      <c r="C85" s="72" t="n">
        <v>80</v>
      </c>
      <c r="D85" s="46" t="n">
        <v>8497</v>
      </c>
      <c r="E85" s="72" t="n">
        <v>80</v>
      </c>
      <c r="F85" s="46" t="n">
        <v>6527</v>
      </c>
      <c r="G85" s="72" t="n">
        <v>80</v>
      </c>
      <c r="H85" s="46" t="n">
        <v>6069</v>
      </c>
    </row>
    <row r="86" customFormat="false" ht="15" hidden="false" customHeight="false" outlineLevel="0" collapsed="false">
      <c r="A86" s="74" t="n">
        <v>81</v>
      </c>
      <c r="B86" s="52" t="n">
        <v>11533</v>
      </c>
      <c r="C86" s="74" t="n">
        <v>81</v>
      </c>
      <c r="D86" s="52" t="n">
        <v>8605</v>
      </c>
      <c r="E86" s="74" t="n">
        <v>81</v>
      </c>
      <c r="F86" s="52" t="n">
        <v>6608</v>
      </c>
      <c r="G86" s="74" t="n">
        <v>81</v>
      </c>
      <c r="H86" s="52" t="n">
        <v>6152</v>
      </c>
    </row>
    <row r="87" customFormat="false" ht="15" hidden="false" customHeight="false" outlineLevel="0" collapsed="false">
      <c r="A87" s="72" t="n">
        <v>82</v>
      </c>
      <c r="B87" s="46" t="n">
        <v>11690</v>
      </c>
      <c r="C87" s="72" t="n">
        <v>82</v>
      </c>
      <c r="D87" s="46" t="n">
        <v>8715</v>
      </c>
      <c r="E87" s="72" t="n">
        <v>82</v>
      </c>
      <c r="F87" s="46" t="n">
        <v>6690</v>
      </c>
      <c r="G87" s="72" t="n">
        <v>82</v>
      </c>
      <c r="H87" s="46" t="n">
        <v>6235</v>
      </c>
    </row>
    <row r="88" customFormat="false" ht="15" hidden="false" customHeight="false" outlineLevel="0" collapsed="false">
      <c r="A88" s="74" t="n">
        <v>83</v>
      </c>
      <c r="B88" s="52" t="n">
        <v>11847</v>
      </c>
      <c r="C88" s="74" t="n">
        <v>83</v>
      </c>
      <c r="D88" s="52" t="n">
        <v>8823</v>
      </c>
      <c r="E88" s="74" t="n">
        <v>83</v>
      </c>
      <c r="F88" s="52" t="n">
        <v>6771</v>
      </c>
      <c r="G88" s="74" t="n">
        <v>83</v>
      </c>
      <c r="H88" s="52" t="n">
        <v>6319</v>
      </c>
    </row>
    <row r="89" customFormat="false" ht="15" hidden="false" customHeight="false" outlineLevel="0" collapsed="false">
      <c r="A89" s="72" t="n">
        <v>84</v>
      </c>
      <c r="B89" s="46" t="n">
        <v>12005</v>
      </c>
      <c r="C89" s="72" t="n">
        <v>84</v>
      </c>
      <c r="D89" s="46" t="n">
        <v>8932</v>
      </c>
      <c r="E89" s="72" t="n">
        <v>84</v>
      </c>
      <c r="F89" s="46" t="n">
        <v>6853</v>
      </c>
      <c r="G89" s="72" t="n">
        <v>84</v>
      </c>
      <c r="H89" s="46" t="n">
        <v>6402</v>
      </c>
    </row>
    <row r="90" customFormat="false" ht="15" hidden="false" customHeight="false" outlineLevel="0" collapsed="false">
      <c r="A90" s="74" t="n">
        <v>85</v>
      </c>
      <c r="B90" s="52" t="n">
        <v>12163</v>
      </c>
      <c r="C90" s="74" t="n">
        <v>85</v>
      </c>
      <c r="D90" s="52" t="n">
        <v>9040</v>
      </c>
      <c r="E90" s="74" t="n">
        <v>85</v>
      </c>
      <c r="F90" s="52" t="n">
        <v>6934</v>
      </c>
      <c r="G90" s="74" t="n">
        <v>85</v>
      </c>
      <c r="H90" s="52" t="n">
        <v>6485</v>
      </c>
    </row>
    <row r="91" customFormat="false" ht="15" hidden="false" customHeight="false" outlineLevel="0" collapsed="false">
      <c r="A91" s="72" t="n">
        <v>86</v>
      </c>
      <c r="B91" s="46" t="n">
        <v>12320</v>
      </c>
      <c r="C91" s="72" t="n">
        <v>86</v>
      </c>
      <c r="D91" s="46" t="n">
        <v>9149</v>
      </c>
      <c r="E91" s="72" t="n">
        <v>86</v>
      </c>
      <c r="F91" s="46" t="n">
        <v>7015</v>
      </c>
      <c r="G91" s="72" t="n">
        <v>86</v>
      </c>
      <c r="H91" s="46" t="n">
        <v>6568</v>
      </c>
    </row>
    <row r="92" customFormat="false" ht="15" hidden="false" customHeight="false" outlineLevel="0" collapsed="false">
      <c r="A92" s="74" t="n">
        <v>87</v>
      </c>
      <c r="B92" s="52" t="n">
        <v>12478</v>
      </c>
      <c r="C92" s="74" t="n">
        <v>87</v>
      </c>
      <c r="D92" s="52" t="n">
        <v>9258</v>
      </c>
      <c r="E92" s="74" t="n">
        <v>87</v>
      </c>
      <c r="F92" s="52" t="n">
        <v>7097</v>
      </c>
      <c r="G92" s="74" t="n">
        <v>87</v>
      </c>
      <c r="H92" s="52" t="n">
        <v>6652</v>
      </c>
    </row>
    <row r="93" customFormat="false" ht="15" hidden="false" customHeight="false" outlineLevel="0" collapsed="false">
      <c r="A93" s="72" t="n">
        <v>88</v>
      </c>
      <c r="B93" s="46" t="n">
        <v>12635</v>
      </c>
      <c r="C93" s="72" t="n">
        <v>88</v>
      </c>
      <c r="D93" s="46" t="n">
        <v>9366</v>
      </c>
      <c r="E93" s="72" t="n">
        <v>88</v>
      </c>
      <c r="F93" s="46" t="n">
        <v>7178</v>
      </c>
      <c r="G93" s="72" t="n">
        <v>88</v>
      </c>
      <c r="H93" s="46" t="n">
        <v>6735</v>
      </c>
    </row>
    <row r="94" customFormat="false" ht="15" hidden="false" customHeight="false" outlineLevel="0" collapsed="false">
      <c r="A94" s="74" t="n">
        <v>89</v>
      </c>
      <c r="B94" s="52" t="n">
        <v>12793</v>
      </c>
      <c r="C94" s="74" t="n">
        <v>89</v>
      </c>
      <c r="D94" s="52" t="n">
        <v>9475</v>
      </c>
      <c r="E94" s="74" t="n">
        <v>89</v>
      </c>
      <c r="F94" s="52" t="n">
        <v>7260</v>
      </c>
      <c r="G94" s="74" t="n">
        <v>89</v>
      </c>
      <c r="H94" s="52" t="n">
        <v>6818</v>
      </c>
    </row>
    <row r="95" customFormat="false" ht="15" hidden="false" customHeight="false" outlineLevel="0" collapsed="false">
      <c r="A95" s="72" t="n">
        <v>90</v>
      </c>
      <c r="B95" s="46" t="n">
        <v>12951</v>
      </c>
      <c r="C95" s="72" t="n">
        <v>90</v>
      </c>
      <c r="D95" s="46" t="n">
        <v>9584</v>
      </c>
      <c r="E95" s="72" t="n">
        <v>90</v>
      </c>
      <c r="F95" s="46" t="n">
        <v>7342</v>
      </c>
      <c r="G95" s="72" t="n">
        <v>90</v>
      </c>
      <c r="H95" s="46" t="n">
        <v>6901</v>
      </c>
    </row>
    <row r="96" customFormat="false" ht="15" hidden="false" customHeight="false" outlineLevel="0" collapsed="false">
      <c r="A96" s="74" t="n">
        <v>91</v>
      </c>
      <c r="B96" s="52" t="n">
        <v>13108</v>
      </c>
      <c r="C96" s="74" t="n">
        <v>91</v>
      </c>
      <c r="D96" s="52" t="n">
        <v>9692</v>
      </c>
      <c r="E96" s="74" t="n">
        <v>91</v>
      </c>
      <c r="F96" s="52" t="n">
        <v>7423</v>
      </c>
      <c r="G96" s="74" t="n">
        <v>91</v>
      </c>
      <c r="H96" s="52" t="n">
        <v>6985</v>
      </c>
    </row>
    <row r="97" customFormat="false" ht="15" hidden="false" customHeight="false" outlineLevel="0" collapsed="false">
      <c r="A97" s="72" t="n">
        <v>92</v>
      </c>
      <c r="B97" s="46" t="n">
        <v>13266</v>
      </c>
      <c r="C97" s="72" t="n">
        <v>92</v>
      </c>
      <c r="D97" s="46" t="n">
        <v>9800</v>
      </c>
      <c r="E97" s="72" t="n">
        <v>92</v>
      </c>
      <c r="F97" s="46" t="n">
        <v>7505</v>
      </c>
      <c r="G97" s="72" t="n">
        <v>92</v>
      </c>
      <c r="H97" s="46" t="n">
        <v>7068</v>
      </c>
    </row>
    <row r="98" customFormat="false" ht="15" hidden="false" customHeight="false" outlineLevel="0" collapsed="false">
      <c r="A98" s="74" t="n">
        <v>93</v>
      </c>
      <c r="B98" s="52" t="n">
        <v>13424</v>
      </c>
      <c r="C98" s="74" t="n">
        <v>93</v>
      </c>
      <c r="D98" s="52" t="n">
        <v>9909</v>
      </c>
      <c r="E98" s="74" t="n">
        <v>93</v>
      </c>
      <c r="F98" s="52" t="n">
        <v>7586</v>
      </c>
      <c r="G98" s="74" t="n">
        <v>93</v>
      </c>
      <c r="H98" s="52" t="n">
        <v>7151</v>
      </c>
    </row>
    <row r="99" customFormat="false" ht="15" hidden="false" customHeight="false" outlineLevel="0" collapsed="false">
      <c r="A99" s="72" t="n">
        <v>94</v>
      </c>
      <c r="B99" s="46" t="n">
        <v>13582</v>
      </c>
      <c r="C99" s="72" t="n">
        <v>94</v>
      </c>
      <c r="D99" s="46" t="n">
        <v>10018</v>
      </c>
      <c r="E99" s="72" t="n">
        <v>94</v>
      </c>
      <c r="F99" s="46" t="n">
        <v>7668</v>
      </c>
      <c r="G99" s="72" t="n">
        <v>94</v>
      </c>
      <c r="H99" s="46" t="n">
        <v>7234</v>
      </c>
    </row>
    <row r="100" customFormat="false" ht="15" hidden="false" customHeight="false" outlineLevel="0" collapsed="false">
      <c r="A100" s="74" t="n">
        <v>95</v>
      </c>
      <c r="B100" s="52" t="n">
        <v>13739</v>
      </c>
      <c r="C100" s="74" t="n">
        <v>95</v>
      </c>
      <c r="D100" s="52" t="n">
        <v>10127</v>
      </c>
      <c r="E100" s="74" t="n">
        <v>95</v>
      </c>
      <c r="F100" s="52" t="n">
        <v>7749</v>
      </c>
      <c r="G100" s="74" t="n">
        <v>95</v>
      </c>
      <c r="H100" s="52" t="n">
        <v>7318</v>
      </c>
    </row>
    <row r="101" customFormat="false" ht="15" hidden="false" customHeight="false" outlineLevel="0" collapsed="false">
      <c r="A101" s="72" t="n">
        <v>96</v>
      </c>
      <c r="B101" s="46" t="n">
        <v>13897</v>
      </c>
      <c r="C101" s="72" t="n">
        <v>96</v>
      </c>
      <c r="D101" s="46" t="n">
        <v>10235</v>
      </c>
      <c r="E101" s="72" t="n">
        <v>96</v>
      </c>
      <c r="F101" s="46" t="n">
        <v>7830</v>
      </c>
      <c r="G101" s="72" t="n">
        <v>96</v>
      </c>
      <c r="H101" s="46" t="n">
        <v>7401</v>
      </c>
    </row>
    <row r="102" customFormat="false" ht="15" hidden="false" customHeight="false" outlineLevel="0" collapsed="false">
      <c r="A102" s="74" t="n">
        <v>97</v>
      </c>
      <c r="B102" s="52" t="n">
        <v>14055</v>
      </c>
      <c r="C102" s="74" t="n">
        <v>97</v>
      </c>
      <c r="D102" s="52" t="n">
        <v>10344</v>
      </c>
      <c r="E102" s="74" t="n">
        <v>97</v>
      </c>
      <c r="F102" s="52" t="n">
        <v>7912</v>
      </c>
      <c r="G102" s="74" t="n">
        <v>97</v>
      </c>
      <c r="H102" s="52" t="n">
        <v>7484</v>
      </c>
    </row>
    <row r="103" customFormat="false" ht="15" hidden="false" customHeight="false" outlineLevel="0" collapsed="false">
      <c r="A103" s="72" t="n">
        <v>98</v>
      </c>
      <c r="B103" s="46" t="n">
        <v>14212</v>
      </c>
      <c r="C103" s="72" t="n">
        <v>98</v>
      </c>
      <c r="D103" s="46" t="n">
        <v>10452</v>
      </c>
      <c r="E103" s="72" t="n">
        <v>98</v>
      </c>
      <c r="F103" s="46" t="n">
        <v>7993</v>
      </c>
      <c r="G103" s="72" t="n">
        <v>98</v>
      </c>
      <c r="H103" s="46" t="n">
        <v>7568</v>
      </c>
    </row>
    <row r="104" customFormat="false" ht="15" hidden="false" customHeight="false" outlineLevel="0" collapsed="false">
      <c r="A104" s="74" t="n">
        <v>99</v>
      </c>
      <c r="B104" s="52" t="n">
        <v>14370</v>
      </c>
      <c r="C104" s="74" t="n">
        <v>99</v>
      </c>
      <c r="D104" s="52" t="n">
        <v>10561</v>
      </c>
      <c r="E104" s="74" t="n">
        <v>99</v>
      </c>
      <c r="F104" s="52" t="n">
        <v>8075</v>
      </c>
      <c r="G104" s="74" t="n">
        <v>99</v>
      </c>
      <c r="H104" s="52" t="n">
        <v>7651</v>
      </c>
    </row>
    <row r="105" customFormat="false" ht="15" hidden="false" customHeight="false" outlineLevel="0" collapsed="false">
      <c r="A105" s="72" t="n">
        <v>100</v>
      </c>
      <c r="B105" s="46" t="n">
        <v>14528</v>
      </c>
      <c r="C105" s="72" t="n">
        <v>100</v>
      </c>
      <c r="D105" s="46" t="n">
        <v>10670</v>
      </c>
      <c r="E105" s="72" t="n">
        <v>100</v>
      </c>
      <c r="F105" s="46" t="n">
        <v>8156</v>
      </c>
      <c r="G105" s="72" t="n">
        <v>100</v>
      </c>
      <c r="H105" s="46" t="n">
        <v>7734</v>
      </c>
    </row>
    <row r="106" customFormat="false" ht="15" hidden="false" customHeight="false" outlineLevel="0" collapsed="false">
      <c r="A106" s="74" t="n">
        <v>101</v>
      </c>
      <c r="B106" s="52" t="n">
        <v>14685</v>
      </c>
      <c r="C106" s="74" t="n">
        <v>101</v>
      </c>
      <c r="D106" s="52" t="n">
        <v>10778</v>
      </c>
      <c r="E106" s="74" t="n">
        <v>101</v>
      </c>
      <c r="F106" s="52" t="n">
        <v>8238</v>
      </c>
      <c r="G106" s="74" t="n">
        <v>101</v>
      </c>
      <c r="H106" s="52" t="n">
        <v>7818</v>
      </c>
    </row>
    <row r="107" customFormat="false" ht="15" hidden="false" customHeight="false" outlineLevel="0" collapsed="false">
      <c r="A107" s="72" t="n">
        <v>102</v>
      </c>
      <c r="B107" s="46" t="n">
        <v>14843</v>
      </c>
      <c r="C107" s="72" t="n">
        <v>102</v>
      </c>
      <c r="D107" s="46" t="n">
        <v>10886</v>
      </c>
      <c r="E107" s="72" t="n">
        <v>102</v>
      </c>
      <c r="F107" s="46" t="n">
        <v>8319</v>
      </c>
      <c r="G107" s="72" t="n">
        <v>102</v>
      </c>
      <c r="H107" s="46" t="n">
        <v>7901</v>
      </c>
    </row>
    <row r="108" customFormat="false" ht="15" hidden="false" customHeight="false" outlineLevel="0" collapsed="false">
      <c r="A108" s="74" t="n">
        <v>103</v>
      </c>
      <c r="B108" s="52" t="n">
        <v>15000</v>
      </c>
      <c r="C108" s="74" t="n">
        <v>103</v>
      </c>
      <c r="D108" s="52" t="n">
        <v>10995</v>
      </c>
      <c r="E108" s="74" t="n">
        <v>103</v>
      </c>
      <c r="F108" s="52" t="n">
        <v>8400</v>
      </c>
      <c r="G108" s="74" t="n">
        <v>103</v>
      </c>
      <c r="H108" s="52" t="n">
        <v>7984</v>
      </c>
    </row>
    <row r="109" customFormat="false" ht="15" hidden="false" customHeight="false" outlineLevel="0" collapsed="false">
      <c r="A109" s="72" t="n">
        <v>104</v>
      </c>
      <c r="B109" s="46" t="n">
        <v>15158</v>
      </c>
      <c r="C109" s="72" t="n">
        <v>104</v>
      </c>
      <c r="D109" s="46" t="n">
        <v>11104</v>
      </c>
      <c r="E109" s="72" t="n">
        <v>104</v>
      </c>
      <c r="F109" s="46" t="n">
        <v>8482</v>
      </c>
      <c r="G109" s="72" t="n">
        <v>104</v>
      </c>
      <c r="H109" s="46" t="n">
        <v>8068</v>
      </c>
    </row>
    <row r="110" customFormat="false" ht="15" hidden="false" customHeight="false" outlineLevel="0" collapsed="false">
      <c r="A110" s="74" t="n">
        <v>105</v>
      </c>
      <c r="B110" s="52" t="n">
        <v>15316</v>
      </c>
      <c r="C110" s="74" t="n">
        <v>105</v>
      </c>
      <c r="D110" s="52" t="n">
        <v>11212</v>
      </c>
      <c r="E110" s="74" t="n">
        <v>105</v>
      </c>
      <c r="F110" s="52" t="n">
        <v>8564</v>
      </c>
      <c r="G110" s="74" t="n">
        <v>105</v>
      </c>
      <c r="H110" s="52" t="n">
        <v>8151</v>
      </c>
    </row>
    <row r="111" customFormat="false" ht="15" hidden="false" customHeight="false" outlineLevel="0" collapsed="false">
      <c r="A111" s="77" t="n">
        <v>106</v>
      </c>
      <c r="B111" s="78" t="n">
        <v>15474</v>
      </c>
      <c r="C111" s="72" t="n">
        <v>106</v>
      </c>
      <c r="D111" s="46" t="n">
        <v>11320</v>
      </c>
      <c r="E111" s="72" t="n">
        <v>106</v>
      </c>
      <c r="F111" s="46" t="n">
        <v>8645</v>
      </c>
      <c r="G111" s="72" t="n">
        <v>106</v>
      </c>
      <c r="H111" s="46" t="n">
        <v>8234</v>
      </c>
    </row>
    <row r="112" customFormat="false" ht="15" hidden="false" customHeight="false" outlineLevel="0" collapsed="false">
      <c r="A112" s="74" t="n">
        <v>107</v>
      </c>
      <c r="B112" s="52" t="n">
        <v>15631</v>
      </c>
      <c r="C112" s="74" t="n">
        <v>107</v>
      </c>
      <c r="D112" s="52" t="n">
        <v>11429</v>
      </c>
      <c r="E112" s="74" t="n">
        <v>107</v>
      </c>
      <c r="F112" s="52" t="n">
        <v>8727</v>
      </c>
      <c r="G112" s="74" t="n">
        <v>107</v>
      </c>
      <c r="H112" s="52" t="n">
        <v>8318</v>
      </c>
    </row>
    <row r="113" customFormat="false" ht="15" hidden="false" customHeight="false" outlineLevel="0" collapsed="false">
      <c r="A113" s="72" t="n">
        <v>108</v>
      </c>
      <c r="B113" s="46" t="n">
        <v>15789</v>
      </c>
      <c r="C113" s="72" t="n">
        <v>108</v>
      </c>
      <c r="D113" s="46" t="n">
        <v>11538</v>
      </c>
      <c r="E113" s="72" t="n">
        <v>108</v>
      </c>
      <c r="F113" s="46" t="n">
        <v>8808</v>
      </c>
      <c r="G113" s="72" t="n">
        <v>108</v>
      </c>
      <c r="H113" s="46" t="n">
        <v>8401</v>
      </c>
    </row>
    <row r="114" customFormat="false" ht="15" hidden="false" customHeight="false" outlineLevel="0" collapsed="false">
      <c r="A114" s="74" t="n">
        <v>109</v>
      </c>
      <c r="B114" s="52" t="n">
        <v>15947</v>
      </c>
      <c r="C114" s="74" t="n">
        <v>109</v>
      </c>
      <c r="D114" s="52" t="n">
        <v>11647</v>
      </c>
      <c r="E114" s="74" t="n">
        <v>109</v>
      </c>
      <c r="F114" s="52" t="n">
        <v>8890</v>
      </c>
      <c r="G114" s="74" t="n">
        <v>109</v>
      </c>
      <c r="H114" s="52" t="n">
        <v>8484</v>
      </c>
    </row>
    <row r="115" customFormat="false" ht="15" hidden="false" customHeight="false" outlineLevel="0" collapsed="false">
      <c r="A115" s="72" t="n">
        <v>110</v>
      </c>
      <c r="B115" s="46" t="n">
        <v>16104</v>
      </c>
      <c r="C115" s="72" t="n">
        <v>110</v>
      </c>
      <c r="D115" s="46" t="n">
        <v>11755</v>
      </c>
      <c r="E115" s="72" t="n">
        <v>110</v>
      </c>
      <c r="F115" s="46" t="n">
        <v>8971</v>
      </c>
      <c r="G115" s="72" t="n">
        <v>110</v>
      </c>
      <c r="H115" s="46" t="n">
        <v>8568</v>
      </c>
    </row>
    <row r="116" customFormat="false" ht="15" hidden="false" customHeight="false" outlineLevel="0" collapsed="false">
      <c r="A116" s="74" t="n">
        <v>111</v>
      </c>
      <c r="B116" s="52" t="n">
        <v>16262</v>
      </c>
      <c r="C116" s="74" t="n">
        <v>111</v>
      </c>
      <c r="D116" s="52" t="n">
        <v>11864</v>
      </c>
      <c r="E116" s="74" t="n">
        <v>111</v>
      </c>
      <c r="F116" s="52" t="n">
        <v>9052</v>
      </c>
      <c r="G116" s="74" t="n">
        <v>111</v>
      </c>
      <c r="H116" s="52" t="n">
        <v>8651</v>
      </c>
    </row>
    <row r="117" customFormat="false" ht="15" hidden="false" customHeight="false" outlineLevel="0" collapsed="false">
      <c r="A117" s="72" t="n">
        <v>112</v>
      </c>
      <c r="B117" s="46" t="n">
        <v>16420</v>
      </c>
      <c r="C117" s="72" t="n">
        <v>112</v>
      </c>
      <c r="D117" s="46" t="n">
        <v>11972</v>
      </c>
      <c r="E117" s="72" t="n">
        <v>112</v>
      </c>
      <c r="F117" s="46" t="n">
        <v>9134</v>
      </c>
      <c r="G117" s="72" t="n">
        <v>112</v>
      </c>
      <c r="H117" s="46" t="n">
        <v>8734</v>
      </c>
    </row>
    <row r="118" customFormat="false" ht="15" hidden="false" customHeight="false" outlineLevel="0" collapsed="false">
      <c r="A118" s="74" t="n">
        <v>113</v>
      </c>
      <c r="B118" s="52" t="n">
        <v>16577</v>
      </c>
      <c r="C118" s="74" t="n">
        <v>113</v>
      </c>
      <c r="D118" s="52" t="n">
        <v>12081</v>
      </c>
      <c r="E118" s="74" t="n">
        <v>113</v>
      </c>
      <c r="F118" s="52" t="n">
        <v>9215</v>
      </c>
      <c r="G118" s="74" t="n">
        <v>113</v>
      </c>
      <c r="H118" s="52" t="n">
        <v>8818</v>
      </c>
    </row>
    <row r="119" customFormat="false" ht="15" hidden="false" customHeight="false" outlineLevel="0" collapsed="false">
      <c r="A119" s="72" t="n">
        <v>114</v>
      </c>
      <c r="B119" s="46" t="n">
        <v>16735</v>
      </c>
      <c r="C119" s="72" t="n">
        <v>114</v>
      </c>
      <c r="D119" s="46" t="n">
        <v>12190</v>
      </c>
      <c r="E119" s="72" t="n">
        <v>114</v>
      </c>
      <c r="F119" s="46" t="n">
        <v>9297</v>
      </c>
      <c r="G119" s="72" t="n">
        <v>114</v>
      </c>
      <c r="H119" s="46" t="n">
        <v>8901</v>
      </c>
    </row>
    <row r="120" customFormat="false" ht="15" hidden="false" customHeight="false" outlineLevel="0" collapsed="false">
      <c r="A120" s="74" t="n">
        <v>115</v>
      </c>
      <c r="B120" s="52" t="n">
        <v>16893</v>
      </c>
      <c r="C120" s="74" t="n">
        <v>115</v>
      </c>
      <c r="D120" s="52" t="n">
        <v>12298</v>
      </c>
      <c r="E120" s="74" t="n">
        <v>115</v>
      </c>
      <c r="F120" s="52" t="n">
        <v>9378</v>
      </c>
      <c r="G120" s="74" t="n">
        <v>115</v>
      </c>
      <c r="H120" s="52" t="n">
        <v>8984</v>
      </c>
    </row>
    <row r="121" customFormat="false" ht="15" hidden="false" customHeight="false" outlineLevel="0" collapsed="false">
      <c r="A121" s="72" t="n">
        <v>116</v>
      </c>
      <c r="B121" s="46" t="n">
        <v>17050</v>
      </c>
      <c r="C121" s="72" t="n">
        <v>116</v>
      </c>
      <c r="D121" s="46" t="n">
        <v>12407</v>
      </c>
      <c r="E121" s="72" t="n">
        <v>116</v>
      </c>
      <c r="F121" s="46" t="n">
        <v>9460</v>
      </c>
      <c r="G121" s="72" t="n">
        <v>116</v>
      </c>
      <c r="H121" s="46" t="n">
        <v>9068</v>
      </c>
    </row>
    <row r="122" customFormat="false" ht="15" hidden="false" customHeight="false" outlineLevel="0" collapsed="false">
      <c r="C122" s="74" t="n">
        <v>117</v>
      </c>
      <c r="D122" s="52" t="n">
        <v>12516</v>
      </c>
      <c r="E122" s="74" t="n">
        <v>117</v>
      </c>
      <c r="F122" s="52" t="n">
        <v>9540</v>
      </c>
      <c r="G122" s="74" t="n">
        <v>117</v>
      </c>
      <c r="H122" s="52" t="n">
        <v>9151</v>
      </c>
    </row>
    <row r="123" customFormat="false" ht="15" hidden="false" customHeight="false" outlineLevel="0" collapsed="false">
      <c r="C123" s="77" t="n">
        <v>118</v>
      </c>
      <c r="D123" s="78" t="n">
        <v>12624</v>
      </c>
      <c r="E123" s="77" t="n">
        <v>118</v>
      </c>
      <c r="F123" s="78" t="n">
        <v>9622</v>
      </c>
      <c r="G123" s="77" t="n">
        <v>118</v>
      </c>
      <c r="H123" s="78" t="n">
        <v>9234</v>
      </c>
    </row>
    <row r="124" customFormat="false" ht="15" hidden="false" customHeight="false" outlineLevel="0" collapsed="false">
      <c r="C124" s="74" t="n">
        <v>119</v>
      </c>
      <c r="D124" s="52" t="n">
        <v>12733</v>
      </c>
      <c r="E124" s="74" t="n">
        <v>119</v>
      </c>
      <c r="F124" s="52" t="n">
        <v>9704</v>
      </c>
      <c r="G124" s="74" t="n">
        <v>119</v>
      </c>
      <c r="H124" s="52" t="n">
        <v>9318</v>
      </c>
    </row>
    <row r="125" customFormat="false" ht="15" hidden="false" customHeight="false" outlineLevel="0" collapsed="false">
      <c r="C125" s="72" t="n">
        <v>120</v>
      </c>
      <c r="D125" s="46" t="n">
        <v>12842</v>
      </c>
      <c r="E125" s="72" t="n">
        <v>120</v>
      </c>
      <c r="F125" s="46" t="n">
        <v>9785</v>
      </c>
      <c r="G125" s="72" t="n">
        <v>120</v>
      </c>
      <c r="H125" s="46" t="n">
        <v>9401</v>
      </c>
    </row>
    <row r="126" customFormat="false" ht="15" hidden="false" customHeight="false" outlineLevel="0" collapsed="false">
      <c r="C126" s="74" t="n">
        <v>121</v>
      </c>
      <c r="D126" s="52" t="n">
        <v>12950</v>
      </c>
      <c r="E126" s="74" t="n">
        <v>121</v>
      </c>
      <c r="F126" s="52" t="n">
        <v>9867</v>
      </c>
      <c r="G126" s="74" t="n">
        <v>121</v>
      </c>
      <c r="H126" s="52" t="n">
        <v>9484</v>
      </c>
    </row>
    <row r="127" customFormat="false" ht="15" hidden="false" customHeight="false" outlineLevel="0" collapsed="false">
      <c r="C127" s="72" t="n">
        <v>122</v>
      </c>
      <c r="D127" s="46" t="n">
        <v>13059</v>
      </c>
      <c r="E127" s="72" t="n">
        <v>122</v>
      </c>
      <c r="F127" s="46" t="n">
        <v>9948</v>
      </c>
      <c r="G127" s="72" t="n">
        <v>122</v>
      </c>
      <c r="H127" s="46" t="n">
        <v>9568</v>
      </c>
    </row>
    <row r="128" customFormat="false" ht="15" hidden="false" customHeight="false" outlineLevel="0" collapsed="false">
      <c r="C128" s="74" t="n">
        <v>123</v>
      </c>
      <c r="D128" s="52" t="n">
        <v>13168</v>
      </c>
      <c r="E128" s="74" t="n">
        <v>123</v>
      </c>
      <c r="F128" s="52" t="n">
        <v>10030</v>
      </c>
      <c r="G128" s="74" t="n">
        <v>123</v>
      </c>
      <c r="H128" s="52" t="n">
        <v>9651</v>
      </c>
    </row>
    <row r="129" customFormat="false" ht="15" hidden="false" customHeight="false" outlineLevel="0" collapsed="false">
      <c r="C129" s="72" t="n">
        <v>124</v>
      </c>
      <c r="D129" s="46" t="n">
        <v>13276</v>
      </c>
      <c r="E129" s="72" t="n">
        <v>124</v>
      </c>
      <c r="F129" s="46" t="n">
        <v>10110</v>
      </c>
      <c r="G129" s="72" t="n">
        <v>124</v>
      </c>
      <c r="H129" s="46" t="n">
        <v>9734</v>
      </c>
    </row>
    <row r="130" customFormat="false" ht="15" hidden="false" customHeight="false" outlineLevel="0" collapsed="false">
      <c r="C130" s="74" t="n">
        <v>125</v>
      </c>
      <c r="D130" s="52" t="n">
        <v>13385</v>
      </c>
      <c r="E130" s="74" t="n">
        <v>125</v>
      </c>
      <c r="F130" s="52" t="n">
        <v>10192</v>
      </c>
      <c r="G130" s="74" t="n">
        <v>125</v>
      </c>
      <c r="H130" s="52" t="n">
        <v>9817</v>
      </c>
    </row>
  </sheetData>
  <mergeCells count="6">
    <mergeCell ref="A1:H1"/>
    <mergeCell ref="A2:H2"/>
    <mergeCell ref="A3:B3"/>
    <mergeCell ref="C3:D3"/>
    <mergeCell ref="E3:F3"/>
    <mergeCell ref="G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2026-10-24T00:15:26Z</dcterms:created>
  <dc:creator>openpyxl</dc:creator>
  <dc:description/>
  <dc:language>en-US</dc:language>
  <cp:lastModifiedBy/>
  <dcterms:modified xsi:type="dcterms:W3CDTF">2026-10-24T00:15:27Z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